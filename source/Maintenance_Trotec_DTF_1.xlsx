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Trotec — Hebdo" sheetId="2" state="visible" r:id="rId4"/>
    <sheet name="Trotec — Procédure" sheetId="3" state="visible" r:id="rId5"/>
    <sheet name="DTF — Consommables" sheetId="4" state="visible" r:id="rId6"/>
    <sheet name="DTF — Historique" sheetId="5" state="visible" r:id="rId7"/>
    <sheet name="Journal pannes" sheetId="6" state="visible" r:id="rId8"/>
    <sheet name="Machines &amp; garanties" sheetId="7" state="visible" r:id="rId9"/>
  </sheets>
  <definedNames>
    <definedName function="false" hidden="false" localSheetId="3" name="_xlnm.Print_Titles" vbProcedure="false">'DTF — Consommables'!$1:$4</definedName>
    <definedName function="false" hidden="false" localSheetId="4" name="_xlnm.Print_Titles" vbProcedure="false">'DTF — Historique'!$1:$4</definedName>
    <definedName function="false" hidden="false" localSheetId="5" name="_xlnm.Print_Titles" vbProcedure="false">'Journal pannes'!$1:$4</definedName>
    <definedName function="false" hidden="false" localSheetId="6" name="_xlnm.Print_Titles" vbProcedure="false">'Machines &amp; garanties'!$1:$4</definedName>
    <definedName function="false" hidden="false" localSheetId="1" name="_xlnm.Print_Titles" vbProcedure="false">'Trotec — Hebdo'!$1:$4</definedName>
    <definedName function="false" hidden="false" localSheetId="2" name="_xlnm.Print_Titles" vbProcedure="false">'Trotec — Procédure'!$1:$4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Nom et prénom de la personne qui exécute — pas le nom de l'atelier.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Relevé du compteur machine (mètres imprimés) au moment de la pose. Permet de calculer la vraie durée de vie en production.</t>
        </r>
      </text>
    </comment>
    <comment ref="N4" authorId="0">
      <text>
        <r>
          <rPr>
            <sz val="10"/>
            <rFont val="Arial"/>
            <family val="2"/>
          </rPr>
          <t xml:space="preserve">Sans n° de lot ou de série, aucune prise en garantie n'est possible.</t>
        </r>
      </text>
    </comment>
  </commentList>
</comments>
</file>

<file path=xl/sharedStrings.xml><?xml version="1.0" encoding="utf-8"?>
<sst xmlns="http://schemas.openxmlformats.org/spreadsheetml/2006/main" count="434" uniqueCount="369">
  <si>
    <t xml:space="preserve">PLAN DE MAINTENANCE — ATELIER IMPRESSION &amp; DÉCOUPE</t>
  </si>
  <si>
    <t xml:space="preserve">Classeur de suivi — Trotec (laser) &amp; Sublistar DTF</t>
  </si>
  <si>
    <t xml:space="preserve">ONGLETS DU CLASSEUR</t>
  </si>
  <si>
    <t xml:space="preserve">Trotec — Hebdo</t>
  </si>
  <si>
    <t xml:space="preserve">Feuille de pointage : 1 ligne = 1 semaine. Le technicien coche chaque poste.</t>
  </si>
  <si>
    <t xml:space="preserve">À remplir chaque semaine</t>
  </si>
  <si>
    <t xml:space="preserve">Trotec — Procédure</t>
  </si>
  <si>
    <t xml:space="preserve">Le détail de CE qu'il faut faire sur chaque poste, avec le produit à utiliser.</t>
  </si>
  <si>
    <t xml:space="preserve">Lecture seule</t>
  </si>
  <si>
    <t xml:space="preserve">DTF — Consommables</t>
  </si>
  <si>
    <t xml:space="preserve">État en temps réel de chaque pièce : dernière pose, échéance, statut.</t>
  </si>
  <si>
    <t xml:space="preserve">À mettre à jour à chaque changement</t>
  </si>
  <si>
    <t xml:space="preserve">DTF — Historique</t>
  </si>
  <si>
    <t xml:space="preserve">Journal permanent : on ajoute une ligne, on n'efface jamais.</t>
  </si>
  <si>
    <t xml:space="preserve">Ajouter une ligne</t>
  </si>
  <si>
    <t xml:space="preserve">Journal pannes</t>
  </si>
  <si>
    <t xml:space="preserve">Toute anomalie, arrêt machine, action corrective. Les 2 machines.</t>
  </si>
  <si>
    <t xml:space="preserve">Machines &amp; garanties</t>
  </si>
  <si>
    <t xml:space="preserve">Numéros de série, fin de garantie, contacts SAV, versions logicielles.</t>
  </si>
  <si>
    <t xml:space="preserve">Vérifier 1x/an</t>
  </si>
  <si>
    <t xml:space="preserve">COMMENT ÇA MARCHE</t>
  </si>
  <si>
    <t xml:space="preserve">Cases jaunes</t>
  </si>
  <si>
    <t xml:space="preserve">Ce sont les seules cases à remplir à la main.</t>
  </si>
  <si>
    <t xml:space="preserve">Cases grises</t>
  </si>
  <si>
    <t xml:space="preserve">Calculées automatiquement. Ne pas taper dedans.</t>
  </si>
  <si>
    <t xml:space="preserve">Colonne Statut</t>
  </si>
  <si>
    <t xml:space="preserve">Passe seule au vert / orange / rouge selon la date du jour.</t>
  </si>
  <si>
    <t xml:space="preserve">Ligne EXEMPLE</t>
  </si>
  <si>
    <t xml:space="preserve">La ligne 'Damper blanc' est pré-remplie comme modèle. À écraser.</t>
  </si>
  <si>
    <t xml:space="preserve">CE QUI PROTÈGE EN CAS DE LITIGE</t>
  </si>
  <si>
    <t xml:space="preserve">Points souvent oubliés — et systématiquement reprochés après coup :</t>
  </si>
  <si>
    <t xml:space="preserve">1</t>
  </si>
  <si>
    <t xml:space="preserve">Le NOM de la personne qui a fait l'intervention (pas 'atelier').</t>
  </si>
  <si>
    <t xml:space="preserve">2</t>
  </si>
  <si>
    <t xml:space="preserve">Le n° de lot / série de la pièce posée — seul élément qui permet une prise en garantie.</t>
  </si>
  <si>
    <t xml:space="preserve">3</t>
  </si>
  <si>
    <t xml:space="preserve">Le n° de facture ou de commande du consommable — prouve l'origine et la date d'achat.</t>
  </si>
  <si>
    <t xml:space="preserve">4</t>
  </si>
  <si>
    <t xml:space="preserve">Le compteur machine (mètres imprimés / heures laser) au moment du changement.</t>
  </si>
  <si>
    <t xml:space="preserve">5</t>
  </si>
  <si>
    <t xml:space="preserve">Le motif du remplacement : usure normale, casse, préventif. Change tout en garantie.</t>
  </si>
  <si>
    <t xml:space="preserve">6</t>
  </si>
  <si>
    <t xml:space="preserve">Le temps d'arrêt production en heures — c'est le chiffre que la direction regarde.</t>
  </si>
  <si>
    <t xml:space="preserve">7</t>
  </si>
  <si>
    <t xml:space="preserve">Le coût de la pièce — permet de calculer le coût de maintenance au mètre imprimé.</t>
  </si>
  <si>
    <t xml:space="preserve">8</t>
  </si>
  <si>
    <t xml:space="preserve">Le stock restant + le seuil d'alerte, pour ne jamais être à l'arrêt faute de pièce.</t>
  </si>
  <si>
    <t xml:space="preserve">9</t>
  </si>
  <si>
    <t xml:space="preserve">Les contrôles sécurité (arrêt d'urgence, capot, extraction) : obligation légale, contrôlée.</t>
  </si>
  <si>
    <t xml:space="preserve">10</t>
  </si>
  <si>
    <t xml:space="preserve">Un test qualité après intervention (test de coupe / test buses) daté et validé.</t>
  </si>
  <si>
    <t xml:space="preserve">11</t>
  </si>
  <si>
    <t xml:space="preserve">La date de fin de garantie et le n° de contrat SAV, avant d'ouvrir une machine soi-même.</t>
  </si>
  <si>
    <t xml:space="preserve">12</t>
  </si>
  <si>
    <t xml:space="preserve">La signature du technicien : sans elle, la feuille n'a aucune valeur de preuve.</t>
  </si>
  <si>
    <t xml:space="preserve">TROTEC — NETTOYAGE COMPLET HEBDOMADAIRE</t>
  </si>
  <si>
    <t xml:space="preserve">1 ligne = 1 semaine · OK / NOK / N-A dans chaque case · toute case NOK oblige à remplir la colonne Anomalie</t>
  </si>
  <si>
    <t xml:space="preserve">Sem.</t>
  </si>
  <si>
    <t xml:space="preserve">Date</t>
  </si>
  <si>
    <t xml:space="preserve">Technicien</t>
  </si>
  <si>
    <t xml:space="preserve">Lentille de focalisation</t>
  </si>
  <si>
    <t xml:space="preserve">Miroirs 1 / 2 / 3</t>
  </si>
  <si>
    <t xml:space="preserve">Fenêtre de sortie du tube</t>
  </si>
  <si>
    <t xml:space="preserve">Rails + guidages X/Y</t>
  </si>
  <si>
    <t xml:space="preserve">Courroies (tension / usure)</t>
  </si>
  <si>
    <t xml:space="preserve">Table nid d'abeille</t>
  </si>
  <si>
    <t xml:space="preserve">Tiroir à déchets</t>
  </si>
  <si>
    <t xml:space="preserve">Buse d'assistance d'air</t>
  </si>
  <si>
    <t xml:space="preserve">Filtre d'extraction (état)</t>
  </si>
  <si>
    <t xml:space="preserve">Ventilateurs + grilles</t>
  </si>
  <si>
    <t xml:space="preserve">Capot + vitre</t>
  </si>
  <si>
    <t xml:space="preserve">Capteurs / fins de course</t>
  </si>
  <si>
    <t xml:space="preserve">Arrêt d'urgence (test)</t>
  </si>
  <si>
    <t xml:space="preserve">Sécurité capot (test)</t>
  </si>
  <si>
    <t xml:space="preserve">Test de coupe de référence</t>
  </si>
  <si>
    <t xml:space="preserve">Conformité</t>
  </si>
  <si>
    <t xml:space="preserve">Durée (min)</t>
  </si>
  <si>
    <t xml:space="preserve">Anomalie constatée / action</t>
  </si>
  <si>
    <t xml:space="preserve">Visa</t>
  </si>
  <si>
    <t xml:space="preserve">TROTEC — PROCÉDURE DE NETTOYAGE COMPLET</t>
  </si>
  <si>
    <t xml:space="preserve">Machine à l'arrêt, sectionneur coupé, machine refroidie. Ne jamais toucher une optique à main nue.</t>
  </si>
  <si>
    <t xml:space="preserve">#</t>
  </si>
  <si>
    <t xml:space="preserve">Poste</t>
  </si>
  <si>
    <t xml:space="preserve">Ce qu'il faut faire</t>
  </si>
  <si>
    <t xml:space="preserve">Produit / outil</t>
  </si>
  <si>
    <t xml:space="preserve">Point de contrôle</t>
  </si>
  <si>
    <t xml:space="preserve">Fréq.</t>
  </si>
  <si>
    <t xml:space="preserve">Durée</t>
  </si>
  <si>
    <t xml:space="preserve">Déposer la lentille, souffler la poussière, nettoyer en spirale du centre vers le bord, sans appuyer. Sécher.</t>
  </si>
  <si>
    <t xml:space="preserve">Alcool isopropylique 99% + coton-tige optique</t>
  </si>
  <si>
    <t xml:space="preserve">Aucune trace ni halo en lumière rasante</t>
  </si>
  <si>
    <t xml:space="preserve">Hebdo</t>
  </si>
  <si>
    <t xml:space="preserve">10 min</t>
  </si>
  <si>
    <t xml:space="preserve">Même méthode que la lentille. Ne jamais frotter. Un coton neuf par miroir.</t>
  </si>
  <si>
    <t xml:space="preserve">Alcool isopropylique 99% + coton optique</t>
  </si>
  <si>
    <t xml:space="preserve">Surface uniforme, pas de rayure ni piqûre</t>
  </si>
  <si>
    <t xml:space="preserve">15 min</t>
  </si>
  <si>
    <t xml:space="preserve">Dépoussiérer à la soufflette, nettoyage doux si dépôt.</t>
  </si>
  <si>
    <t xml:space="preserve">Soufflette + coton optique</t>
  </si>
  <si>
    <t xml:space="preserve">Pas de dépôt brun</t>
  </si>
  <si>
    <t xml:space="preserve">5 min</t>
  </si>
  <si>
    <t xml:space="preserve">Rails et guidages X/Y</t>
  </si>
  <si>
    <t xml:space="preserve">Essuyer les rails sur toute la course. Lubrifier UNIQUEMENT si le constructeur le prescrit.</t>
  </si>
  <si>
    <t xml:space="preserve">Chiffon non pelucheux sec</t>
  </si>
  <si>
    <t xml:space="preserve">Déplacement chariot sans point dur</t>
  </si>
  <si>
    <t xml:space="preserve">Courroies</t>
  </si>
  <si>
    <t xml:space="preserve">Contrôler tension et dents. Retirer les débris coincés.</t>
  </si>
  <si>
    <t xml:space="preserve">Visuel + pinceau</t>
  </si>
  <si>
    <t xml:space="preserve">Aucune dent manquante, pas de jeu latéral</t>
  </si>
  <si>
    <t xml:space="preserve">Déposer, aspirer, gratter les résidus collés, dégraisser.</t>
  </si>
  <si>
    <t xml:space="preserve">Aspirateur + brosse laiton</t>
  </si>
  <si>
    <t xml:space="preserve">Alvéoles dégagées, pas de résidus fondus</t>
  </si>
  <si>
    <t xml:space="preserve">Vider intégralement, aspirer le fond du bâti.</t>
  </si>
  <si>
    <t xml:space="preserve">Aspirateur</t>
  </si>
  <si>
    <t xml:space="preserve">Tiroir vide et sec</t>
  </si>
  <si>
    <t xml:space="preserve">Dévisser, déboucher, contrôler le débit. Purger le condensat du compresseur.</t>
  </si>
  <si>
    <t xml:space="preserve">Soufflette + aiguille laiton</t>
  </si>
  <si>
    <t xml:space="preserve">Flux d'air franc et centré</t>
  </si>
  <si>
    <t xml:space="preserve">Extraction / filtres</t>
  </si>
  <si>
    <t xml:space="preserve">Contrôler la dépression, l'encrassement du préfiltre et la saturation du charbon actif. Noter le % restant.</t>
  </si>
  <si>
    <t xml:space="preserve">Visuel + indicateur machine</t>
  </si>
  <si>
    <t xml:space="preserve">Aspiration franche, pas d'odeur en cabine</t>
  </si>
  <si>
    <t xml:space="preserve">Ventilateurs et grilles</t>
  </si>
  <si>
    <t xml:space="preserve">Dépoussiérer toutes les entrées d'air et les ventilateurs d'électronique.</t>
  </si>
  <si>
    <t xml:space="preserve">Aspirateur + pinceau</t>
  </si>
  <si>
    <t xml:space="preserve">Grilles dégagées</t>
  </si>
  <si>
    <t xml:space="preserve">Capot et vitre</t>
  </si>
  <si>
    <t xml:space="preserve">Nettoyer l'intérieur du capot et la vitre de protection.</t>
  </si>
  <si>
    <t xml:space="preserve">Produit vitre non ammoniaqué</t>
  </si>
  <si>
    <t xml:space="preserve">Visibilité parfaite</t>
  </si>
  <si>
    <t xml:space="preserve">Dépoussiérer, vérifier la prise d'origine machine.</t>
  </si>
  <si>
    <t xml:space="preserve">Soufflette</t>
  </si>
  <si>
    <t xml:space="preserve">Origine machine correcte</t>
  </si>
  <si>
    <t xml:space="preserve">Arrêt d'urgence</t>
  </si>
  <si>
    <t xml:space="preserve">Actionner le bouton, vérifier l'arrêt immédiat, réarmer.</t>
  </si>
  <si>
    <t xml:space="preserve">Test fonctionnel</t>
  </si>
  <si>
    <t xml:space="preserve">Arrêt instantané — À CONSIGNER</t>
  </si>
  <si>
    <t xml:space="preserve">2 min</t>
  </si>
  <si>
    <t xml:space="preserve">Sécurité de capot</t>
  </si>
  <si>
    <t xml:space="preserve">Ouvrir le capot en cours de cycle : le faisceau doit se couper.</t>
  </si>
  <si>
    <t xml:space="preserve">Coupure immédiate — À CONSIGNER</t>
  </si>
  <si>
    <t xml:space="preserve">Lancer le fichier test sur chute. Comparer au gabarit de référence.</t>
  </si>
  <si>
    <t xml:space="preserve">Fichier test + chute matière</t>
  </si>
  <si>
    <t xml:space="preserve">Coupe nette, pas de perte de puissance</t>
  </si>
  <si>
    <t xml:space="preserve">M1</t>
  </si>
  <si>
    <t xml:space="preserve">Miroir de renvoi arrière + soufflet</t>
  </si>
  <si>
    <t xml:space="preserve">Contrôle approfondi, dépose et nettoyage complet.</t>
  </si>
  <si>
    <t xml:space="preserve">Kit optique</t>
  </si>
  <si>
    <t xml:space="preserve">Alignement conservé</t>
  </si>
  <si>
    <t xml:space="preserve">Mensuel</t>
  </si>
  <si>
    <t xml:space="preserve">20 min</t>
  </si>
  <si>
    <t xml:space="preserve">M2</t>
  </si>
  <si>
    <t xml:space="preserve">Alignement faisceau</t>
  </si>
  <si>
    <t xml:space="preserve">Test papier thermique aux 4 coins de la table.</t>
  </si>
  <si>
    <t xml:space="preserve">Papier thermique</t>
  </si>
  <si>
    <t xml:space="preserve">Impact identique aux 4 coins</t>
  </si>
  <si>
    <t xml:space="preserve">M3</t>
  </si>
  <si>
    <t xml:space="preserve">Remplacement filtre extraction</t>
  </si>
  <si>
    <t xml:space="preserve">Selon indicateur de saturation. Consigner la date.</t>
  </si>
  <si>
    <t xml:space="preserve">Filtre d'origine</t>
  </si>
  <si>
    <t xml:space="preserve">Indicateur remis à zéro</t>
  </si>
  <si>
    <t xml:space="preserve">Selon usure</t>
  </si>
  <si>
    <t xml:space="preserve">A1</t>
  </si>
  <si>
    <t xml:space="preserve">Contrôle constructeur</t>
  </si>
  <si>
    <t xml:space="preserve">Intervention SAV : puissance tube, alignement, sécurité.</t>
  </si>
  <si>
    <t xml:space="preserve">Contrat SAV</t>
  </si>
  <si>
    <t xml:space="preserve">Rapport SAV archivé</t>
  </si>
  <si>
    <t xml:space="preserve">Annuel</t>
  </si>
  <si>
    <t xml:space="preserve">—</t>
  </si>
  <si>
    <t xml:space="preserve">SUBLISTAR DTF — SUIVI DES CONSOMMABLES ET PIÈCES D'USURE</t>
  </si>
  <si>
    <t xml:space="preserve">Têtes EPSON I3200-A1 (2H8C) · Une ligne par pièce · Mettre à jour la date à CHAQUE changement</t>
  </si>
  <si>
    <t xml:space="preserve">Consommable / pièce</t>
  </si>
  <si>
    <t xml:space="preserve">Emplacement</t>
  </si>
  <si>
    <t xml:space="preserve">Référence pièce</t>
  </si>
  <si>
    <t xml:space="preserve">Qté</t>
  </si>
  <si>
    <t xml:space="preserve">Dernier remplacement</t>
  </si>
  <si>
    <t xml:space="preserve">Durée de vie (mois)</t>
  </si>
  <si>
    <t xml:space="preserve">Prochaine échéance</t>
  </si>
  <si>
    <t xml:space="preserve">Statut</t>
  </si>
  <si>
    <t xml:space="preserve">Compteur (m) à la pose</t>
  </si>
  <si>
    <t xml:space="preserve">Fournisseur</t>
  </si>
  <si>
    <t xml:space="preserve">N° commande / facture</t>
  </si>
  <si>
    <t xml:space="preserve">Coût unit. (€)</t>
  </si>
  <si>
    <t xml:space="preserve">N° lot / série</t>
  </si>
  <si>
    <t xml:space="preserve">Intervenant</t>
  </si>
  <si>
    <t xml:space="preserve">Stock</t>
  </si>
  <si>
    <t xml:space="preserve">Seuil</t>
  </si>
  <si>
    <t xml:space="preserve">Alerte stock</t>
  </si>
  <si>
    <t xml:space="preserve">Observations / motif</t>
  </si>
  <si>
    <t xml:space="preserve">Damper blanc (x4)</t>
  </si>
  <si>
    <t xml:space="preserve">Chariot — circuit blanc</t>
  </si>
  <si>
    <t xml:space="preserve">DMP-I3200-W</t>
  </si>
  <si>
    <t xml:space="preserve">Sublistar</t>
  </si>
  <si>
    <t xml:space="preserve">SUB-2025-0714</t>
  </si>
  <si>
    <t xml:space="preserve">LOT-W2507</t>
  </si>
  <si>
    <t xml:space="preserve">Charlie</t>
  </si>
  <si>
    <t xml:space="preserve">EXEMPLE — remplacement préventif, encrassement blanc</t>
  </si>
  <si>
    <t xml:space="preserve">Damper couleur (x4)</t>
  </si>
  <si>
    <t xml:space="preserve">Chariot — circuit CMYK</t>
  </si>
  <si>
    <t xml:space="preserve">DMP-I3200-C</t>
  </si>
  <si>
    <t xml:space="preserve">Tête I3200-A1 — Blanc n°1</t>
  </si>
  <si>
    <t xml:space="preserve">Chariot position 1</t>
  </si>
  <si>
    <t xml:space="preserve">I3200-A1</t>
  </si>
  <si>
    <t xml:space="preserve">Tête I3200-A1 — Blanc n°2</t>
  </si>
  <si>
    <t xml:space="preserve">Chariot position 2</t>
  </si>
  <si>
    <t xml:space="preserve">Tête I3200-A1 — Couleur n°1</t>
  </si>
  <si>
    <t xml:space="preserve">Chariot position 3</t>
  </si>
  <si>
    <t xml:space="preserve">Tête I3200-A1 — Couleur n°2</t>
  </si>
  <si>
    <t xml:space="preserve">Chariot position 4</t>
  </si>
  <si>
    <t xml:space="preserve">Filtre d'encre en ligne — Blanc</t>
  </si>
  <si>
    <t xml:space="preserve">Circuit blanc</t>
  </si>
  <si>
    <t xml:space="preserve">FLT-INK-W</t>
  </si>
  <si>
    <t xml:space="preserve">Filtre d'encre en ligne — Couleur</t>
  </si>
  <si>
    <t xml:space="preserve">Circuit CMYK</t>
  </si>
  <si>
    <t xml:space="preserve">FLT-INK-C</t>
  </si>
  <si>
    <t xml:space="preserve">Station d'obturation (capping)</t>
  </si>
  <si>
    <t xml:space="preserve">Station de parking</t>
  </si>
  <si>
    <t xml:space="preserve">CAP-2H</t>
  </si>
  <si>
    <t xml:space="preserve">Racle d'essuyage (wiper)</t>
  </si>
  <si>
    <t xml:space="preserve">WIP-2H</t>
  </si>
  <si>
    <t xml:space="preserve">Pompe d'aspiration / purge</t>
  </si>
  <si>
    <t xml:space="preserve">Bloc pompe</t>
  </si>
  <si>
    <t xml:space="preserve">PMP-SUC</t>
  </si>
  <si>
    <t xml:space="preserve">Agitateur encre blanche</t>
  </si>
  <si>
    <t xml:space="preserve">Réservoir blanc</t>
  </si>
  <si>
    <t xml:space="preserve">STIR-W</t>
  </si>
  <si>
    <t xml:space="preserve">Durites / tuyaux d'encre</t>
  </si>
  <si>
    <t xml:space="preserve">Circuit complet</t>
  </si>
  <si>
    <t xml:space="preserve">TUB-INK</t>
  </si>
  <si>
    <t xml:space="preserve">Filtre de dépression (air)</t>
  </si>
  <si>
    <t xml:space="preserve">Pompe à vide</t>
  </si>
  <si>
    <t xml:space="preserve">FLT-VAC</t>
  </si>
  <si>
    <t xml:space="preserve">Courroie chariot X</t>
  </si>
  <si>
    <t xml:space="preserve">Axe X</t>
  </si>
  <si>
    <t xml:space="preserve">BLT-X</t>
  </si>
  <si>
    <t xml:space="preserve">Roulements / patins chariot</t>
  </si>
  <si>
    <t xml:space="preserve">Rail chariot</t>
  </si>
  <si>
    <t xml:space="preserve">BRG-CAR</t>
  </si>
  <si>
    <t xml:space="preserve">Bande encodeur + capteur</t>
  </si>
  <si>
    <t xml:space="preserve">ENC-STRIP</t>
  </si>
  <si>
    <t xml:space="preserve">Courroie entraînement média</t>
  </si>
  <si>
    <t xml:space="preserve">Axe Y</t>
  </si>
  <si>
    <t xml:space="preserve">BLT-Y</t>
  </si>
  <si>
    <t xml:space="preserve">Rouleaux presseurs</t>
  </si>
  <si>
    <t xml:space="preserve">Entrée média</t>
  </si>
  <si>
    <t xml:space="preserve">ROL-PIN</t>
  </si>
  <si>
    <t xml:space="preserve">Tapis convoyeur du four</t>
  </si>
  <si>
    <t xml:space="preserve">Four / shaker</t>
  </si>
  <si>
    <t xml:space="preserve">BLT-OVEN</t>
  </si>
  <si>
    <t xml:space="preserve">Résistances chauffantes</t>
  </si>
  <si>
    <t xml:space="preserve">Four</t>
  </si>
  <si>
    <t xml:space="preserve">HTR-OVEN</t>
  </si>
  <si>
    <t xml:space="preserve">Moteur vibreur (shaker)</t>
  </si>
  <si>
    <t xml:space="preserve">Shaker poudre</t>
  </si>
  <si>
    <t xml:space="preserve">MOT-SHK</t>
  </si>
  <si>
    <t xml:space="preserve">Brosse / racleur de poudre</t>
  </si>
  <si>
    <t xml:space="preserve">BRS-PWD</t>
  </si>
  <si>
    <t xml:space="preserve">Filtre d'aspiration poudre</t>
  </si>
  <si>
    <t xml:space="preserve">FLT-PWD</t>
  </si>
  <si>
    <t xml:space="preserve">Filtre charbon actif — fumées</t>
  </si>
  <si>
    <t xml:space="preserve">Extraction four</t>
  </si>
  <si>
    <t xml:space="preserve">FLT-CARB</t>
  </si>
  <si>
    <t xml:space="preserve">Ventilateur d'extraction</t>
  </si>
  <si>
    <t xml:space="preserve">FAN-EXT</t>
  </si>
  <si>
    <t xml:space="preserve">Bac à encre usagée</t>
  </si>
  <si>
    <t xml:space="preserve">Sous station</t>
  </si>
  <si>
    <t xml:space="preserve">WST-TANK</t>
  </si>
  <si>
    <t xml:space="preserve">Filtre / purge compresseur</t>
  </si>
  <si>
    <t xml:space="preserve">Compresseur air</t>
  </si>
  <si>
    <t xml:space="preserve">FLT-AIR</t>
  </si>
  <si>
    <t xml:space="preserve">Nappes de têtes (flat cables)</t>
  </si>
  <si>
    <t xml:space="preserve">Chariot</t>
  </si>
  <si>
    <t xml:space="preserve">FFC-I3200</t>
  </si>
  <si>
    <t xml:space="preserve">Encre Blanche</t>
  </si>
  <si>
    <t xml:space="preserve">Réservoir</t>
  </si>
  <si>
    <t xml:space="preserve">INK-W-5L</t>
  </si>
  <si>
    <t xml:space="preserve">Encre Cyan</t>
  </si>
  <si>
    <t xml:space="preserve">INK-C-5L</t>
  </si>
  <si>
    <t xml:space="preserve">Encre Magenta</t>
  </si>
  <si>
    <t xml:space="preserve">INK-M-5L</t>
  </si>
  <si>
    <t xml:space="preserve">Encre Jaune</t>
  </si>
  <si>
    <t xml:space="preserve">INK-Y-5L</t>
  </si>
  <si>
    <t xml:space="preserve">Encre Noire</t>
  </si>
  <si>
    <t xml:space="preserve">INK-K-5L</t>
  </si>
  <si>
    <t xml:space="preserve">Poudre hot-melt</t>
  </si>
  <si>
    <t xml:space="preserve">Bac shaker</t>
  </si>
  <si>
    <t xml:space="preserve">PWD-HM-20</t>
  </si>
  <si>
    <t xml:space="preserve">Film DTF (rouleau)</t>
  </si>
  <si>
    <t xml:space="preserve">Dérouleur</t>
  </si>
  <si>
    <t xml:space="preserve">FLM-60-100</t>
  </si>
  <si>
    <t xml:space="preserve">Liquide de nettoyage têtes</t>
  </si>
  <si>
    <t xml:space="preserve">Atelier</t>
  </si>
  <si>
    <t xml:space="preserve">CLN-1L</t>
  </si>
  <si>
    <t xml:space="preserve">Coût total des pièces suivies (€)</t>
  </si>
  <si>
    <t xml:space="preserve">Pièces en retard</t>
  </si>
  <si>
    <t xml:space="preserve">Pièces à commander</t>
  </si>
  <si>
    <t xml:space="preserve">Durées de vie indicatives à ajuster selon votre volume réel de production. Ligne 5 = exemple à écraser.</t>
  </si>
  <si>
    <t xml:space="preserve">HISTORIQUE DES REMPLACEMENTS</t>
  </si>
  <si>
    <t xml:space="preserve">Journal permanent — on ajoute une ligne, on n'efface jamais une ligne existante</t>
  </si>
  <si>
    <t xml:space="preserve">Machine</t>
  </si>
  <si>
    <t xml:space="preserve">Réf.</t>
  </si>
  <si>
    <t xml:space="preserve">Motif</t>
  </si>
  <si>
    <t xml:space="preserve">Compteur (m)</t>
  </si>
  <si>
    <t xml:space="preserve">Coût total (€)</t>
  </si>
  <si>
    <t xml:space="preserve">N° commande</t>
  </si>
  <si>
    <t xml:space="preserve">Arrêt prod. (h)</t>
  </si>
  <si>
    <t xml:space="preserve">Test qualité OK</t>
  </si>
  <si>
    <t xml:space="preserve">Observations</t>
  </si>
  <si>
    <t xml:space="preserve">DTF</t>
  </si>
  <si>
    <t xml:space="preserve">Préventif</t>
  </si>
  <si>
    <t xml:space="preserve">OUI</t>
  </si>
  <si>
    <t xml:space="preserve">EXEMPLE — encrassement circuit blanc, test buses conforme après purge</t>
  </si>
  <si>
    <t xml:space="preserve">JOURNAL DES ANOMALIES ET DES PANNES</t>
  </si>
  <si>
    <t xml:space="preserve">Les deux machines · Toute case NOK de la feuille hebdo doit générer une ligne ici</t>
  </si>
  <si>
    <t xml:space="preserve">N°</t>
  </si>
  <si>
    <t xml:space="preserve">Date / heure</t>
  </si>
  <si>
    <t xml:space="preserve">Description de l'anomalie</t>
  </si>
  <si>
    <t xml:space="preserve">Cause identifiée</t>
  </si>
  <si>
    <t xml:space="preserve">Action corrective</t>
  </si>
  <si>
    <t xml:space="preserve">Pièces utilisées</t>
  </si>
  <si>
    <t xml:space="preserve">Coût (€)</t>
  </si>
  <si>
    <t xml:space="preserve">Traité par</t>
  </si>
  <si>
    <t xml:space="preserve">Date de clôture</t>
  </si>
  <si>
    <t xml:space="preserve">PARC MACHINES — IDENTIFICATION, GARANTIES ET CONTACTS</t>
  </si>
  <si>
    <t xml:space="preserve">À vérifier une fois par an · Ne jamais ouvrir une machine sous garantie sans accord écrit du SAV</t>
  </si>
  <si>
    <t xml:space="preserve">Rubrique</t>
  </si>
  <si>
    <t xml:space="preserve">TROTEC (laser)</t>
  </si>
  <si>
    <t xml:space="preserve">SUBLISTAR DTF</t>
  </si>
  <si>
    <t xml:space="preserve">Remarque</t>
  </si>
  <si>
    <t xml:space="preserve">Modèle exact</t>
  </si>
  <si>
    <t xml:space="preserve">Plaque constructeur</t>
  </si>
  <si>
    <t xml:space="preserve">N° de série</t>
  </si>
  <si>
    <t xml:space="preserve">Demandé à chaque appel SAV</t>
  </si>
  <si>
    <t xml:space="preserve">Année de fabrication</t>
  </si>
  <si>
    <t xml:space="preserve">Date d'achat / facture</t>
  </si>
  <si>
    <t xml:space="preserve">Point de départ de la garantie</t>
  </si>
  <si>
    <t xml:space="preserve">Fin de garantie</t>
  </si>
  <si>
    <t xml:space="preserve">À surveiller — cellule à mettre à jour</t>
  </si>
  <si>
    <t xml:space="preserve">Contrat de maintenance</t>
  </si>
  <si>
    <t xml:space="preserve">N° de contrat + périmètre couvert</t>
  </si>
  <si>
    <t xml:space="preserve">Contact SAV — société</t>
  </si>
  <si>
    <t xml:space="preserve">Contact SAV — téléphone</t>
  </si>
  <si>
    <t xml:space="preserve">Contact SAV — e-mail</t>
  </si>
  <si>
    <t xml:space="preserve">N° client</t>
  </si>
  <si>
    <t xml:space="preserve">Fournisseur consommables</t>
  </si>
  <si>
    <t xml:space="preserve">Prévoir un 2e fournisseur de secours</t>
  </si>
  <si>
    <t xml:space="preserve">Délai de livraison pièces</t>
  </si>
  <si>
    <t xml:space="preserve">Conditionne le stock mini à garder</t>
  </si>
  <si>
    <t xml:space="preserve">Logiciel de pilotage</t>
  </si>
  <si>
    <t xml:space="preserve">JobControl</t>
  </si>
  <si>
    <t xml:space="preserve">Print Manager (BYHX)</t>
  </si>
  <si>
    <t xml:space="preserve">Version logiciel</t>
  </si>
  <si>
    <t xml:space="preserve">À noter avant toute mise à jour</t>
  </si>
  <si>
    <t xml:space="preserve">RIP</t>
  </si>
  <si>
    <t xml:space="preserve">FlexiPrint</t>
  </si>
  <si>
    <t xml:space="preserve">Adresse IP machine</t>
  </si>
  <si>
    <t xml:space="preserve">Indispensable après réinstallation</t>
  </si>
  <si>
    <t xml:space="preserve">Sauvegarde des réglages</t>
  </si>
  <si>
    <t xml:space="preserve">Date de la dernière sauvegarde</t>
  </si>
  <si>
    <t xml:space="preserve">Puissance / configuration</t>
  </si>
  <si>
    <t xml:space="preserve">EPSON I3200-A1 — 2H8C</t>
  </si>
  <si>
    <t xml:space="preserve">Compteur actuel</t>
  </si>
  <si>
    <t xml:space="preserve">Relever le 1er de chaque mois</t>
  </si>
  <si>
    <t xml:space="preserve">Dernier contrôle sécurité</t>
  </si>
  <si>
    <t xml:space="preserve">Date + nom du contrôleur</t>
  </si>
  <si>
    <t xml:space="preserve">Dernière intervention SAV</t>
  </si>
  <si>
    <t xml:space="preserve">Rapport à archiver</t>
  </si>
  <si>
    <t xml:space="preserve">Emplacement des notices</t>
  </si>
  <si>
    <t xml:space="preserve">Papier + numérique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</si>
</sst>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#,##0.00&quot; €&quot;"/>
    <numFmt numFmtId="168" formatCode="General"/>
    <numFmt numFmtId="169" formatCode="dd/mm/yyyy\ 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9999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8A24A"/>
        <bgColor rgb="FFBF8F00"/>
      </patternFill>
    </fill>
    <fill>
      <patternFill patternType="solid">
        <fgColor rgb="FFEAF0F6"/>
        <bgColor rgb="FFF5F5F5"/>
      </patternFill>
    </fill>
    <fill>
      <patternFill patternType="solid">
        <fgColor rgb="FFFFF7D6"/>
        <bgColor rgb="FFFFF0CC"/>
      </patternFill>
    </fill>
    <fill>
      <patternFill patternType="solid">
        <fgColor rgb="FFF5F5F5"/>
        <bgColor rgb="FFEAF0F6"/>
      </patternFill>
    </fill>
    <fill>
      <patternFill patternType="solid">
        <fgColor rgb="FFE8E8E8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2E7D32"/>
        <sz val="10"/>
      </font>
      <fill>
        <patternFill>
          <bgColor rgb="FFD5EFD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BD5D5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BF8F00"/>
        <sz val="10"/>
      </font>
      <fill>
        <patternFill>
          <bgColor rgb="FFFFF0CC"/>
        </patternFill>
      </fill>
    </dxf>
    <dxf>
      <font>
        <name val="Arial"/>
        <charset val="1"/>
        <family val="0"/>
        <b val="1"/>
        <color rgb="FF666666"/>
        <sz val="10"/>
      </font>
      <fill>
        <patternFill>
          <bgColor rgb="FFE8E8E8"/>
        </patternFill>
      </fill>
    </dxf>
    <dxf>
      <font>
        <name val="Arial"/>
        <charset val="1"/>
        <family val="0"/>
        <b val="1"/>
        <color rgb="FF1F3A5F"/>
        <sz val="10"/>
      </font>
      <fill>
        <patternFill>
          <bgColor rgb="FFDCE6F1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1"/>
      <rgbColor rgb="FF808080"/>
      <rgbColor rgb="FF9999FF"/>
      <rgbColor rgb="FF993366"/>
      <rgbColor rgb="FFFFF7D6"/>
      <rgbColor rgb="FFEAF0F6"/>
      <rgbColor rgb="FF660066"/>
      <rgbColor rgb="FFC8A24A"/>
      <rgbColor rgb="FF0066CC"/>
      <rgbColor rgb="FFE8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5EFD8"/>
      <rgbColor rgb="FFFFF0CC"/>
      <rgbColor rgb="FFF5F5F5"/>
      <rgbColor rgb="FFFF99CC"/>
      <rgbColor rgb="FFCC99FF"/>
      <rgbColor rgb="FFFBD5D5"/>
      <rgbColor rgb="FF3366FF"/>
      <rgbColor rgb="FF33CCCC"/>
      <rgbColor rgb="FF99CC00"/>
      <rgbColor rgb="FFFFCC00"/>
      <rgbColor rgb="FFBF8F00"/>
      <rgbColor rgb="FFFF6600"/>
      <rgbColor rgb="FF666666"/>
      <rgbColor rgb="FF999999"/>
      <rgbColor rgb="FF1F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5" min="4" style="0" width="26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B3" s="3"/>
      <c r="C3" s="4"/>
      <c r="D3" s="5"/>
    </row>
    <row r="4" customFormat="false" ht="15" hidden="false" customHeight="false" outlineLevel="0" collapsed="false">
      <c r="B4" s="6" t="s">
        <v>2</v>
      </c>
      <c r="C4" s="7"/>
      <c r="D4" s="8"/>
      <c r="E4" s="9"/>
      <c r="F4" s="9"/>
    </row>
    <row r="5" customFormat="false" ht="15" hidden="false" customHeight="false" outlineLevel="0" collapsed="false">
      <c r="B5" s="3" t="s">
        <v>3</v>
      </c>
      <c r="C5" s="4" t="s">
        <v>4</v>
      </c>
      <c r="D5" s="5" t="s">
        <v>5</v>
      </c>
    </row>
    <row r="6" customFormat="false" ht="15" hidden="false" customHeight="false" outlineLevel="0" collapsed="false">
      <c r="B6" s="3" t="s">
        <v>6</v>
      </c>
      <c r="C6" s="4" t="s">
        <v>7</v>
      </c>
      <c r="D6" s="5" t="s">
        <v>8</v>
      </c>
    </row>
    <row r="7" customFormat="false" ht="15" hidden="false" customHeight="false" outlineLevel="0" collapsed="false">
      <c r="B7" s="3" t="s">
        <v>9</v>
      </c>
      <c r="C7" s="4" t="s">
        <v>10</v>
      </c>
      <c r="D7" s="5" t="s">
        <v>11</v>
      </c>
    </row>
    <row r="8" customFormat="false" ht="15" hidden="false" customHeight="false" outlineLevel="0" collapsed="false">
      <c r="B8" s="3" t="s">
        <v>12</v>
      </c>
      <c r="C8" s="4" t="s">
        <v>13</v>
      </c>
      <c r="D8" s="5" t="s">
        <v>14</v>
      </c>
    </row>
    <row r="9" customFormat="false" ht="15" hidden="false" customHeight="false" outlineLevel="0" collapsed="false">
      <c r="B9" s="3" t="s">
        <v>15</v>
      </c>
      <c r="C9" s="4" t="s">
        <v>16</v>
      </c>
      <c r="D9" s="5" t="s">
        <v>14</v>
      </c>
    </row>
    <row r="10" customFormat="false" ht="15" hidden="false" customHeight="false" outlineLevel="0" collapsed="false">
      <c r="B10" s="3" t="s">
        <v>17</v>
      </c>
      <c r="C10" s="4" t="s">
        <v>18</v>
      </c>
      <c r="D10" s="5" t="s">
        <v>19</v>
      </c>
    </row>
    <row r="11" customFormat="false" ht="15" hidden="false" customHeight="false" outlineLevel="0" collapsed="false">
      <c r="B11" s="3"/>
      <c r="C11" s="4"/>
      <c r="D11" s="5"/>
    </row>
    <row r="12" customFormat="false" ht="15" hidden="false" customHeight="false" outlineLevel="0" collapsed="false">
      <c r="B12" s="6" t="s">
        <v>20</v>
      </c>
      <c r="C12" s="7"/>
      <c r="D12" s="8"/>
      <c r="E12" s="9"/>
      <c r="F12" s="9"/>
    </row>
    <row r="13" customFormat="false" ht="15" hidden="false" customHeight="false" outlineLevel="0" collapsed="false">
      <c r="B13" s="3" t="s">
        <v>21</v>
      </c>
      <c r="C13" s="4" t="s">
        <v>22</v>
      </c>
      <c r="D13" s="5"/>
    </row>
    <row r="14" customFormat="false" ht="15" hidden="false" customHeight="false" outlineLevel="0" collapsed="false">
      <c r="B14" s="3" t="s">
        <v>23</v>
      </c>
      <c r="C14" s="4" t="s">
        <v>24</v>
      </c>
      <c r="D14" s="5"/>
    </row>
    <row r="15" customFormat="false" ht="15" hidden="false" customHeight="false" outlineLevel="0" collapsed="false">
      <c r="B15" s="3" t="s">
        <v>25</v>
      </c>
      <c r="C15" s="4" t="s">
        <v>26</v>
      </c>
      <c r="D15" s="5"/>
    </row>
    <row r="16" customFormat="false" ht="15" hidden="false" customHeight="false" outlineLevel="0" collapsed="false">
      <c r="B16" s="3" t="s">
        <v>27</v>
      </c>
      <c r="C16" s="4" t="s">
        <v>28</v>
      </c>
      <c r="D16" s="5"/>
    </row>
    <row r="17" customFormat="false" ht="15" hidden="false" customHeight="false" outlineLevel="0" collapsed="false">
      <c r="B17" s="3"/>
      <c r="C17" s="4"/>
      <c r="D17" s="5"/>
    </row>
    <row r="18" customFormat="false" ht="15" hidden="false" customHeight="false" outlineLevel="0" collapsed="false">
      <c r="B18" s="6" t="s">
        <v>29</v>
      </c>
      <c r="C18" s="7" t="s">
        <v>30</v>
      </c>
      <c r="D18" s="8"/>
      <c r="E18" s="9"/>
      <c r="F18" s="9"/>
    </row>
    <row r="19" customFormat="false" ht="15" hidden="false" customHeight="false" outlineLevel="0" collapsed="false">
      <c r="B19" s="3" t="s">
        <v>31</v>
      </c>
      <c r="C19" s="4" t="s">
        <v>32</v>
      </c>
      <c r="D19" s="5"/>
    </row>
    <row r="20" customFormat="false" ht="23.85" hidden="false" customHeight="false" outlineLevel="0" collapsed="false">
      <c r="B20" s="3" t="s">
        <v>33</v>
      </c>
      <c r="C20" s="4" t="s">
        <v>34</v>
      </c>
      <c r="D20" s="5"/>
    </row>
    <row r="21" customFormat="false" ht="23.85" hidden="false" customHeight="false" outlineLevel="0" collapsed="false">
      <c r="B21" s="3" t="s">
        <v>35</v>
      </c>
      <c r="C21" s="4" t="s">
        <v>36</v>
      </c>
      <c r="D21" s="5"/>
    </row>
    <row r="22" customFormat="false" ht="23.85" hidden="false" customHeight="false" outlineLevel="0" collapsed="false">
      <c r="B22" s="3" t="s">
        <v>37</v>
      </c>
      <c r="C22" s="4" t="s">
        <v>38</v>
      </c>
      <c r="D22" s="5"/>
    </row>
    <row r="23" customFormat="false" ht="23.85" hidden="false" customHeight="false" outlineLevel="0" collapsed="false">
      <c r="B23" s="3" t="s">
        <v>39</v>
      </c>
      <c r="C23" s="4" t="s">
        <v>40</v>
      </c>
      <c r="D23" s="5"/>
    </row>
    <row r="24" customFormat="false" ht="23.85" hidden="false" customHeight="false" outlineLevel="0" collapsed="false">
      <c r="B24" s="3" t="s">
        <v>41</v>
      </c>
      <c r="C24" s="4" t="s">
        <v>42</v>
      </c>
      <c r="D24" s="5"/>
    </row>
    <row r="25" customFormat="false" ht="23.85" hidden="false" customHeight="false" outlineLevel="0" collapsed="false">
      <c r="B25" s="3" t="s">
        <v>43</v>
      </c>
      <c r="C25" s="4" t="s">
        <v>44</v>
      </c>
      <c r="D25" s="5"/>
    </row>
    <row r="26" customFormat="false" ht="23.85" hidden="false" customHeight="false" outlineLevel="0" collapsed="false">
      <c r="B26" s="3" t="s">
        <v>45</v>
      </c>
      <c r="C26" s="4" t="s">
        <v>46</v>
      </c>
      <c r="D26" s="5"/>
    </row>
    <row r="27" customFormat="false" ht="23.85" hidden="false" customHeight="false" outlineLevel="0" collapsed="false">
      <c r="B27" s="3" t="s">
        <v>47</v>
      </c>
      <c r="C27" s="4" t="s">
        <v>48</v>
      </c>
      <c r="D27" s="5"/>
    </row>
    <row r="28" customFormat="false" ht="15" hidden="false" customHeight="false" outlineLevel="0" collapsed="false">
      <c r="B28" s="3" t="s">
        <v>49</v>
      </c>
      <c r="C28" s="4" t="s">
        <v>50</v>
      </c>
      <c r="D28" s="5"/>
    </row>
    <row r="29" customFormat="false" ht="23.85" hidden="false" customHeight="false" outlineLevel="0" collapsed="false">
      <c r="B29" s="3" t="s">
        <v>51</v>
      </c>
      <c r="C29" s="4" t="s">
        <v>52</v>
      </c>
      <c r="D29" s="5"/>
    </row>
    <row r="30" customFormat="false" ht="15" hidden="false" customHeight="false" outlineLevel="0" collapsed="false">
      <c r="B30" s="3" t="s">
        <v>53</v>
      </c>
      <c r="C30" s="4" t="s">
        <v>54</v>
      </c>
      <c r="D30" s="5"/>
    </row>
  </sheetData>
  <mergeCells count="2">
    <mergeCell ref="A1:F1"/>
    <mergeCell ref="A2:F2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18" min="4" style="0" width="5.51"/>
    <col collapsed="false" customWidth="true" hidden="false" outlineLevel="0" max="20" min="19" style="0" width="11"/>
    <col collapsed="false" customWidth="true" hidden="false" outlineLevel="0" max="21" min="21" style="0" width="45"/>
    <col collapsed="false" customWidth="true" hidden="false" outlineLevel="0" max="22" min="22" style="0" width="12"/>
  </cols>
  <sheetData>
    <row r="1" customFormat="false" ht="33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9.5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90" hidden="false" customHeight="true" outlineLevel="0" collapsed="false">
      <c r="A4" s="10" t="s">
        <v>57</v>
      </c>
      <c r="B4" s="10" t="s">
        <v>58</v>
      </c>
      <c r="C4" s="10" t="s">
        <v>59</v>
      </c>
      <c r="D4" s="11" t="s">
        <v>60</v>
      </c>
      <c r="E4" s="11" t="s">
        <v>61</v>
      </c>
      <c r="F4" s="11" t="s">
        <v>62</v>
      </c>
      <c r="G4" s="11" t="s">
        <v>63</v>
      </c>
      <c r="H4" s="11" t="s">
        <v>64</v>
      </c>
      <c r="I4" s="11" t="s">
        <v>65</v>
      </c>
      <c r="J4" s="11" t="s">
        <v>66</v>
      </c>
      <c r="K4" s="11" t="s">
        <v>67</v>
      </c>
      <c r="L4" s="11" t="s">
        <v>68</v>
      </c>
      <c r="M4" s="11" t="s">
        <v>69</v>
      </c>
      <c r="N4" s="11" t="s">
        <v>70</v>
      </c>
      <c r="O4" s="11" t="s">
        <v>71</v>
      </c>
      <c r="P4" s="11" t="s">
        <v>72</v>
      </c>
      <c r="Q4" s="11" t="s">
        <v>73</v>
      </c>
      <c r="R4" s="11" t="s">
        <v>74</v>
      </c>
      <c r="S4" s="10" t="s">
        <v>75</v>
      </c>
      <c r="T4" s="10" t="s">
        <v>76</v>
      </c>
      <c r="U4" s="10" t="s">
        <v>77</v>
      </c>
      <c r="V4" s="10" t="s">
        <v>78</v>
      </c>
    </row>
    <row r="5" customFormat="false" ht="21.75" hidden="false" customHeight="true" outlineLevel="0" collapsed="false">
      <c r="A5" s="12" t="n">
        <v>33</v>
      </c>
      <c r="B5" s="13" t="n">
        <v>46244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 t="str">
        <f aca="false">IF(COUNTA(D5:R5)=0,"",COUNTIF(D5:R5,"OK")/COUNTA(D5:R5))</f>
        <v/>
      </c>
      <c r="T5" s="14"/>
      <c r="U5" s="16"/>
      <c r="V5" s="14"/>
    </row>
    <row r="6" customFormat="false" ht="21.75" hidden="false" customHeight="true" outlineLevel="0" collapsed="false">
      <c r="A6" s="17" t="n">
        <v>34</v>
      </c>
      <c r="B6" s="18" t="n">
        <v>46251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9" t="str">
        <f aca="false">IF(COUNTA(D6:R6)=0,"",COUNTIF(D6:R6,"OK")/COUNTA(D6:R6))</f>
        <v/>
      </c>
      <c r="T6" s="14"/>
      <c r="U6" s="16"/>
      <c r="V6" s="14"/>
    </row>
    <row r="7" customFormat="false" ht="21.75" hidden="false" customHeight="true" outlineLevel="0" collapsed="false">
      <c r="A7" s="12" t="n">
        <v>35</v>
      </c>
      <c r="B7" s="13" t="n">
        <v>46258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 t="str">
        <f aca="false">IF(COUNTA(D7:R7)=0,"",COUNTIF(D7:R7,"OK")/COUNTA(D7:R7))</f>
        <v/>
      </c>
      <c r="T7" s="14"/>
      <c r="U7" s="16"/>
      <c r="V7" s="14"/>
    </row>
    <row r="8" customFormat="false" ht="21.75" hidden="false" customHeight="true" outlineLevel="0" collapsed="false">
      <c r="A8" s="17" t="n">
        <v>36</v>
      </c>
      <c r="B8" s="18" t="n">
        <v>46265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9" t="str">
        <f aca="false">IF(COUNTA(D8:R8)=0,"",COUNTIF(D8:R8,"OK")/COUNTA(D8:R8))</f>
        <v/>
      </c>
      <c r="T8" s="14"/>
      <c r="U8" s="16"/>
      <c r="V8" s="14"/>
    </row>
    <row r="9" customFormat="false" ht="21.75" hidden="false" customHeight="true" outlineLevel="0" collapsed="false">
      <c r="A9" s="12" t="n">
        <v>37</v>
      </c>
      <c r="B9" s="13" t="n">
        <v>46272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 t="str">
        <f aca="false">IF(COUNTA(D9:R9)=0,"",COUNTIF(D9:R9,"OK")/COUNTA(D9:R9))</f>
        <v/>
      </c>
      <c r="T9" s="14"/>
      <c r="U9" s="16"/>
      <c r="V9" s="14"/>
    </row>
    <row r="10" customFormat="false" ht="21.75" hidden="false" customHeight="true" outlineLevel="0" collapsed="false">
      <c r="A10" s="17" t="n">
        <v>38</v>
      </c>
      <c r="B10" s="18" t="n">
        <v>46279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9" t="str">
        <f aca="false">IF(COUNTA(D10:R10)=0,"",COUNTIF(D10:R10,"OK")/COUNTA(D10:R10))</f>
        <v/>
      </c>
      <c r="T10" s="14"/>
      <c r="U10" s="16"/>
      <c r="V10" s="14"/>
    </row>
    <row r="11" customFormat="false" ht="21.75" hidden="false" customHeight="true" outlineLevel="0" collapsed="false">
      <c r="A11" s="12" t="n">
        <v>39</v>
      </c>
      <c r="B11" s="13" t="n">
        <v>46286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 t="str">
        <f aca="false">IF(COUNTA(D11:R11)=0,"",COUNTIF(D11:R11,"OK")/COUNTA(D11:R11))</f>
        <v/>
      </c>
      <c r="T11" s="14"/>
      <c r="U11" s="16"/>
      <c r="V11" s="14"/>
    </row>
    <row r="12" customFormat="false" ht="21.75" hidden="false" customHeight="true" outlineLevel="0" collapsed="false">
      <c r="A12" s="17" t="n">
        <v>40</v>
      </c>
      <c r="B12" s="18" t="n">
        <v>46293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9" t="str">
        <f aca="false">IF(COUNTA(D12:R12)=0,"",COUNTIF(D12:R12,"OK")/COUNTA(D12:R12))</f>
        <v/>
      </c>
      <c r="T12" s="14"/>
      <c r="U12" s="16"/>
      <c r="V12" s="14"/>
    </row>
    <row r="13" customFormat="false" ht="21.75" hidden="false" customHeight="true" outlineLevel="0" collapsed="false">
      <c r="A13" s="12" t="n">
        <v>41</v>
      </c>
      <c r="B13" s="13" t="n">
        <v>46300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 t="str">
        <f aca="false">IF(COUNTA(D13:R13)=0,"",COUNTIF(D13:R13,"OK")/COUNTA(D13:R13))</f>
        <v/>
      </c>
      <c r="T13" s="14"/>
      <c r="U13" s="16"/>
      <c r="V13" s="14"/>
    </row>
    <row r="14" customFormat="false" ht="21.75" hidden="false" customHeight="true" outlineLevel="0" collapsed="false">
      <c r="A14" s="17" t="n">
        <v>42</v>
      </c>
      <c r="B14" s="18" t="n">
        <v>46307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9" t="str">
        <f aca="false">IF(COUNTA(D14:R14)=0,"",COUNTIF(D14:R14,"OK")/COUNTA(D14:R14))</f>
        <v/>
      </c>
      <c r="T14" s="14"/>
      <c r="U14" s="16"/>
      <c r="V14" s="14"/>
    </row>
    <row r="15" customFormat="false" ht="21.75" hidden="false" customHeight="true" outlineLevel="0" collapsed="false">
      <c r="A15" s="12" t="n">
        <v>43</v>
      </c>
      <c r="B15" s="13" t="n">
        <v>46314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 t="str">
        <f aca="false">IF(COUNTA(D15:R15)=0,"",COUNTIF(D15:R15,"OK")/COUNTA(D15:R15))</f>
        <v/>
      </c>
      <c r="T15" s="14"/>
      <c r="U15" s="16"/>
      <c r="V15" s="14"/>
    </row>
    <row r="16" customFormat="false" ht="21.75" hidden="false" customHeight="true" outlineLevel="0" collapsed="false">
      <c r="A16" s="17" t="n">
        <v>44</v>
      </c>
      <c r="B16" s="18" t="n">
        <v>46321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9" t="str">
        <f aca="false">IF(COUNTA(D16:R16)=0,"",COUNTIF(D16:R16,"OK")/COUNTA(D16:R16))</f>
        <v/>
      </c>
      <c r="T16" s="14"/>
      <c r="U16" s="16"/>
      <c r="V16" s="14"/>
    </row>
    <row r="17" customFormat="false" ht="21.75" hidden="false" customHeight="true" outlineLevel="0" collapsed="false">
      <c r="A17" s="12" t="n">
        <v>45</v>
      </c>
      <c r="B17" s="13" t="n">
        <v>46328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 t="str">
        <f aca="false">IF(COUNTA(D17:R17)=0,"",COUNTIF(D17:R17,"OK")/COUNTA(D17:R17))</f>
        <v/>
      </c>
      <c r="T17" s="14"/>
      <c r="U17" s="16"/>
      <c r="V17" s="14"/>
    </row>
    <row r="18" customFormat="false" ht="21.75" hidden="false" customHeight="true" outlineLevel="0" collapsed="false">
      <c r="A18" s="17" t="n">
        <v>46</v>
      </c>
      <c r="B18" s="18" t="n">
        <v>46335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9" t="str">
        <f aca="false">IF(COUNTA(D18:R18)=0,"",COUNTIF(D18:R18,"OK")/COUNTA(D18:R18))</f>
        <v/>
      </c>
      <c r="T18" s="14"/>
      <c r="U18" s="16"/>
      <c r="V18" s="14"/>
    </row>
    <row r="19" customFormat="false" ht="21.75" hidden="false" customHeight="true" outlineLevel="0" collapsed="false">
      <c r="A19" s="12" t="n">
        <v>47</v>
      </c>
      <c r="B19" s="13" t="n">
        <v>46342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 t="str">
        <f aca="false">IF(COUNTA(D19:R19)=0,"",COUNTIF(D19:R19,"OK")/COUNTA(D19:R19))</f>
        <v/>
      </c>
      <c r="T19" s="14"/>
      <c r="U19" s="16"/>
      <c r="V19" s="14"/>
    </row>
    <row r="20" customFormat="false" ht="21.75" hidden="false" customHeight="true" outlineLevel="0" collapsed="false">
      <c r="A20" s="17" t="n">
        <v>48</v>
      </c>
      <c r="B20" s="18" t="n">
        <v>46349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9" t="str">
        <f aca="false">IF(COUNTA(D20:R20)=0,"",COUNTIF(D20:R20,"OK")/COUNTA(D20:R20))</f>
        <v/>
      </c>
      <c r="T20" s="14"/>
      <c r="U20" s="16"/>
      <c r="V20" s="14"/>
    </row>
    <row r="21" customFormat="false" ht="21.75" hidden="false" customHeight="true" outlineLevel="0" collapsed="false">
      <c r="A21" s="12" t="n">
        <v>49</v>
      </c>
      <c r="B21" s="13" t="n">
        <v>46356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 t="str">
        <f aca="false">IF(COUNTA(D21:R21)=0,"",COUNTIF(D21:R21,"OK")/COUNTA(D21:R21))</f>
        <v/>
      </c>
      <c r="T21" s="14"/>
      <c r="U21" s="16"/>
      <c r="V21" s="14"/>
    </row>
    <row r="22" customFormat="false" ht="21.75" hidden="false" customHeight="true" outlineLevel="0" collapsed="false">
      <c r="A22" s="17" t="n">
        <v>50</v>
      </c>
      <c r="B22" s="18" t="n">
        <v>46363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9" t="str">
        <f aca="false">IF(COUNTA(D22:R22)=0,"",COUNTIF(D22:R22,"OK")/COUNTA(D22:R22))</f>
        <v/>
      </c>
      <c r="T22" s="14"/>
      <c r="U22" s="16"/>
      <c r="V22" s="14"/>
    </row>
    <row r="23" customFormat="false" ht="21.75" hidden="false" customHeight="true" outlineLevel="0" collapsed="false">
      <c r="A23" s="12" t="n">
        <v>51</v>
      </c>
      <c r="B23" s="13" t="n">
        <v>46370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 t="str">
        <f aca="false">IF(COUNTA(D23:R23)=0,"",COUNTIF(D23:R23,"OK")/COUNTA(D23:R23))</f>
        <v/>
      </c>
      <c r="T23" s="14"/>
      <c r="U23" s="16"/>
      <c r="V23" s="14"/>
    </row>
    <row r="24" customFormat="false" ht="21.75" hidden="false" customHeight="true" outlineLevel="0" collapsed="false">
      <c r="A24" s="17" t="n">
        <v>52</v>
      </c>
      <c r="B24" s="18" t="n">
        <v>46377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9" t="str">
        <f aca="false">IF(COUNTA(D24:R24)=0,"",COUNTIF(D24:R24,"OK")/COUNTA(D24:R24))</f>
        <v/>
      </c>
      <c r="T24" s="14"/>
      <c r="U24" s="16"/>
      <c r="V24" s="14"/>
    </row>
    <row r="25" customFormat="false" ht="21.75" hidden="false" customHeight="true" outlineLevel="0" collapsed="false">
      <c r="A25" s="12" t="n">
        <v>53</v>
      </c>
      <c r="B25" s="13" t="n">
        <v>46384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 t="str">
        <f aca="false">IF(COUNTA(D25:R25)=0,"",COUNTIF(D25:R25,"OK")/COUNTA(D25:R25))</f>
        <v/>
      </c>
      <c r="T25" s="14"/>
      <c r="U25" s="16"/>
      <c r="V25" s="14"/>
    </row>
    <row r="26" customFormat="false" ht="21.75" hidden="false" customHeight="true" outlineLevel="0" collapsed="false">
      <c r="A26" s="17" t="n">
        <v>1</v>
      </c>
      <c r="B26" s="18" t="n">
        <v>46391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9" t="str">
        <f aca="false">IF(COUNTA(D26:R26)=0,"",COUNTIF(D26:R26,"OK")/COUNTA(D26:R26))</f>
        <v/>
      </c>
      <c r="T26" s="14"/>
      <c r="U26" s="16"/>
      <c r="V26" s="14"/>
    </row>
    <row r="27" customFormat="false" ht="21.75" hidden="false" customHeight="true" outlineLevel="0" collapsed="false">
      <c r="A27" s="12" t="n">
        <v>2</v>
      </c>
      <c r="B27" s="13" t="n">
        <v>46398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 t="str">
        <f aca="false">IF(COUNTA(D27:R27)=0,"",COUNTIF(D27:R27,"OK")/COUNTA(D27:R27))</f>
        <v/>
      </c>
      <c r="T27" s="14"/>
      <c r="U27" s="16"/>
      <c r="V27" s="14"/>
    </row>
    <row r="28" customFormat="false" ht="21.75" hidden="false" customHeight="true" outlineLevel="0" collapsed="false">
      <c r="A28" s="17" t="n">
        <v>3</v>
      </c>
      <c r="B28" s="18" t="n">
        <v>46405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9" t="str">
        <f aca="false">IF(COUNTA(D28:R28)=0,"",COUNTIF(D28:R28,"OK")/COUNTA(D28:R28))</f>
        <v/>
      </c>
      <c r="T28" s="14"/>
      <c r="U28" s="16"/>
      <c r="V28" s="14"/>
    </row>
    <row r="29" customFormat="false" ht="21.75" hidden="false" customHeight="true" outlineLevel="0" collapsed="false">
      <c r="A29" s="12" t="n">
        <v>4</v>
      </c>
      <c r="B29" s="13" t="n">
        <v>46412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 t="str">
        <f aca="false">IF(COUNTA(D29:R29)=0,"",COUNTIF(D29:R29,"OK")/COUNTA(D29:R29))</f>
        <v/>
      </c>
      <c r="T29" s="14"/>
      <c r="U29" s="16"/>
      <c r="V29" s="14"/>
    </row>
    <row r="30" customFormat="false" ht="21.75" hidden="false" customHeight="true" outlineLevel="0" collapsed="false">
      <c r="A30" s="17" t="n">
        <v>5</v>
      </c>
      <c r="B30" s="18" t="n">
        <v>46419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9" t="str">
        <f aca="false">IF(COUNTA(D30:R30)=0,"",COUNTIF(D30:R30,"OK")/COUNTA(D30:R30))</f>
        <v/>
      </c>
      <c r="T30" s="14"/>
      <c r="U30" s="16"/>
      <c r="V30" s="14"/>
    </row>
    <row r="31" customFormat="false" ht="21.75" hidden="false" customHeight="true" outlineLevel="0" collapsed="false">
      <c r="A31" s="12" t="n">
        <v>6</v>
      </c>
      <c r="B31" s="13" t="n">
        <v>46426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5" t="str">
        <f aca="false">IF(COUNTA(D31:R31)=0,"",COUNTIF(D31:R31,"OK")/COUNTA(D31:R31))</f>
        <v/>
      </c>
      <c r="T31" s="14"/>
      <c r="U31" s="16"/>
      <c r="V31" s="14"/>
    </row>
    <row r="32" customFormat="false" ht="21.75" hidden="false" customHeight="true" outlineLevel="0" collapsed="false">
      <c r="A32" s="17" t="n">
        <v>7</v>
      </c>
      <c r="B32" s="18" t="n">
        <v>46433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9" t="str">
        <f aca="false">IF(COUNTA(D32:R32)=0,"",COUNTIF(D32:R32,"OK")/COUNTA(D32:R32))</f>
        <v/>
      </c>
      <c r="T32" s="14"/>
      <c r="U32" s="16"/>
      <c r="V32" s="14"/>
    </row>
    <row r="33" customFormat="false" ht="21.75" hidden="false" customHeight="true" outlineLevel="0" collapsed="false">
      <c r="A33" s="12" t="n">
        <v>8</v>
      </c>
      <c r="B33" s="13" t="n">
        <v>46440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5" t="str">
        <f aca="false">IF(COUNTA(D33:R33)=0,"",COUNTIF(D33:R33,"OK")/COUNTA(D33:R33))</f>
        <v/>
      </c>
      <c r="T33" s="14"/>
      <c r="U33" s="16"/>
      <c r="V33" s="14"/>
    </row>
    <row r="34" customFormat="false" ht="21.75" hidden="false" customHeight="true" outlineLevel="0" collapsed="false">
      <c r="A34" s="17" t="n">
        <v>9</v>
      </c>
      <c r="B34" s="18" t="n">
        <v>46447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9" t="str">
        <f aca="false">IF(COUNTA(D34:R34)=0,"",COUNTIF(D34:R34,"OK")/COUNTA(D34:R34))</f>
        <v/>
      </c>
      <c r="T34" s="14"/>
      <c r="U34" s="16"/>
      <c r="V34" s="14"/>
    </row>
    <row r="35" customFormat="false" ht="21.75" hidden="false" customHeight="true" outlineLevel="0" collapsed="false">
      <c r="A35" s="12" t="n">
        <v>10</v>
      </c>
      <c r="B35" s="13" t="n">
        <v>46454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5" t="str">
        <f aca="false">IF(COUNTA(D35:R35)=0,"",COUNTIF(D35:R35,"OK")/COUNTA(D35:R35))</f>
        <v/>
      </c>
      <c r="T35" s="14"/>
      <c r="U35" s="16"/>
      <c r="V35" s="14"/>
    </row>
    <row r="36" customFormat="false" ht="21.75" hidden="false" customHeight="true" outlineLevel="0" collapsed="false">
      <c r="A36" s="17" t="n">
        <v>11</v>
      </c>
      <c r="B36" s="18" t="n">
        <v>46461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9" t="str">
        <f aca="false">IF(COUNTA(D36:R36)=0,"",COUNTIF(D36:R36,"OK")/COUNTA(D36:R36))</f>
        <v/>
      </c>
      <c r="T36" s="14"/>
      <c r="U36" s="16"/>
      <c r="V36" s="14"/>
    </row>
    <row r="37" customFormat="false" ht="21.75" hidden="false" customHeight="true" outlineLevel="0" collapsed="false">
      <c r="A37" s="12" t="n">
        <v>12</v>
      </c>
      <c r="B37" s="13" t="n">
        <v>46468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5" t="str">
        <f aca="false">IF(COUNTA(D37:R37)=0,"",COUNTIF(D37:R37,"OK")/COUNTA(D37:R37))</f>
        <v/>
      </c>
      <c r="T37" s="14"/>
      <c r="U37" s="16"/>
      <c r="V37" s="14"/>
    </row>
    <row r="38" customFormat="false" ht="21.75" hidden="false" customHeight="true" outlineLevel="0" collapsed="false">
      <c r="A38" s="17" t="n">
        <v>13</v>
      </c>
      <c r="B38" s="18" t="n">
        <v>46475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9" t="str">
        <f aca="false">IF(COUNTA(D38:R38)=0,"",COUNTIF(D38:R38,"OK")/COUNTA(D38:R38))</f>
        <v/>
      </c>
      <c r="T38" s="14"/>
      <c r="U38" s="16"/>
      <c r="V38" s="14"/>
    </row>
    <row r="39" customFormat="false" ht="21.75" hidden="false" customHeight="true" outlineLevel="0" collapsed="false">
      <c r="A39" s="12" t="n">
        <v>14</v>
      </c>
      <c r="B39" s="13" t="n">
        <v>46482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5" t="str">
        <f aca="false">IF(COUNTA(D39:R39)=0,"",COUNTIF(D39:R39,"OK")/COUNTA(D39:R39))</f>
        <v/>
      </c>
      <c r="T39" s="14"/>
      <c r="U39" s="16"/>
      <c r="V39" s="14"/>
    </row>
    <row r="40" customFormat="false" ht="21.75" hidden="false" customHeight="true" outlineLevel="0" collapsed="false">
      <c r="A40" s="17" t="n">
        <v>15</v>
      </c>
      <c r="B40" s="18" t="n">
        <v>46489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9" t="str">
        <f aca="false">IF(COUNTA(D40:R40)=0,"",COUNTIF(D40:R40,"OK")/COUNTA(D40:R40))</f>
        <v/>
      </c>
      <c r="T40" s="14"/>
      <c r="U40" s="16"/>
      <c r="V40" s="14"/>
    </row>
    <row r="41" customFormat="false" ht="21.75" hidden="false" customHeight="true" outlineLevel="0" collapsed="false">
      <c r="A41" s="12" t="n">
        <v>16</v>
      </c>
      <c r="B41" s="13" t="n">
        <v>46496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 t="str">
        <f aca="false">IF(COUNTA(D41:R41)=0,"",COUNTIF(D41:R41,"OK")/COUNTA(D41:R41))</f>
        <v/>
      </c>
      <c r="T41" s="14"/>
      <c r="U41" s="16"/>
      <c r="V41" s="14"/>
    </row>
    <row r="42" customFormat="false" ht="21.75" hidden="false" customHeight="true" outlineLevel="0" collapsed="false">
      <c r="A42" s="17" t="n">
        <v>17</v>
      </c>
      <c r="B42" s="18" t="n">
        <v>46503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9" t="str">
        <f aca="false">IF(COUNTA(D42:R42)=0,"",COUNTIF(D42:R42,"OK")/COUNTA(D42:R42))</f>
        <v/>
      </c>
      <c r="T42" s="14"/>
      <c r="U42" s="16"/>
      <c r="V42" s="14"/>
    </row>
    <row r="43" customFormat="false" ht="21.75" hidden="false" customHeight="true" outlineLevel="0" collapsed="false">
      <c r="A43" s="12" t="n">
        <v>18</v>
      </c>
      <c r="B43" s="13" t="n">
        <v>46510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 t="str">
        <f aca="false">IF(COUNTA(D43:R43)=0,"",COUNTIF(D43:R43,"OK")/COUNTA(D43:R43))</f>
        <v/>
      </c>
      <c r="T43" s="14"/>
      <c r="U43" s="16"/>
      <c r="V43" s="14"/>
    </row>
    <row r="44" customFormat="false" ht="21.75" hidden="false" customHeight="true" outlineLevel="0" collapsed="false">
      <c r="A44" s="17" t="n">
        <v>19</v>
      </c>
      <c r="B44" s="18" t="n">
        <v>46517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9" t="str">
        <f aca="false">IF(COUNTA(D44:R44)=0,"",COUNTIF(D44:R44,"OK")/COUNTA(D44:R44))</f>
        <v/>
      </c>
      <c r="T44" s="14"/>
      <c r="U44" s="16"/>
      <c r="V44" s="14"/>
    </row>
    <row r="45" customFormat="false" ht="21.75" hidden="false" customHeight="true" outlineLevel="0" collapsed="false">
      <c r="A45" s="12" t="n">
        <v>20</v>
      </c>
      <c r="B45" s="13" t="n">
        <v>46524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 t="str">
        <f aca="false">IF(COUNTA(D45:R45)=0,"",COUNTIF(D45:R45,"OK")/COUNTA(D45:R45))</f>
        <v/>
      </c>
      <c r="T45" s="14"/>
      <c r="U45" s="16"/>
      <c r="V45" s="14"/>
    </row>
    <row r="46" customFormat="false" ht="21.75" hidden="false" customHeight="true" outlineLevel="0" collapsed="false">
      <c r="A46" s="17" t="n">
        <v>21</v>
      </c>
      <c r="B46" s="18" t="n">
        <v>46531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9" t="str">
        <f aca="false">IF(COUNTA(D46:R46)=0,"",COUNTIF(D46:R46,"OK")/COUNTA(D46:R46))</f>
        <v/>
      </c>
      <c r="T46" s="14"/>
      <c r="U46" s="16"/>
      <c r="V46" s="14"/>
    </row>
    <row r="47" customFormat="false" ht="21.75" hidden="false" customHeight="true" outlineLevel="0" collapsed="false">
      <c r="A47" s="12" t="n">
        <v>22</v>
      </c>
      <c r="B47" s="13" t="n">
        <v>46538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5" t="str">
        <f aca="false">IF(COUNTA(D47:R47)=0,"",COUNTIF(D47:R47,"OK")/COUNTA(D47:R47))</f>
        <v/>
      </c>
      <c r="T47" s="14"/>
      <c r="U47" s="16"/>
      <c r="V47" s="14"/>
    </row>
    <row r="48" customFormat="false" ht="21.75" hidden="false" customHeight="true" outlineLevel="0" collapsed="false">
      <c r="A48" s="17" t="n">
        <v>23</v>
      </c>
      <c r="B48" s="18" t="n">
        <v>46545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9" t="str">
        <f aca="false">IF(COUNTA(D48:R48)=0,"",COUNTIF(D48:R48,"OK")/COUNTA(D48:R48))</f>
        <v/>
      </c>
      <c r="T48" s="14"/>
      <c r="U48" s="16"/>
      <c r="V48" s="14"/>
    </row>
    <row r="49" customFormat="false" ht="21.75" hidden="false" customHeight="true" outlineLevel="0" collapsed="false">
      <c r="A49" s="12" t="n">
        <v>24</v>
      </c>
      <c r="B49" s="13" t="n">
        <v>46552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5" t="str">
        <f aca="false">IF(COUNTA(D49:R49)=0,"",COUNTIF(D49:R49,"OK")/COUNTA(D49:R49))</f>
        <v/>
      </c>
      <c r="T49" s="14"/>
      <c r="U49" s="16"/>
      <c r="V49" s="14"/>
    </row>
    <row r="50" customFormat="false" ht="21.75" hidden="false" customHeight="true" outlineLevel="0" collapsed="false">
      <c r="A50" s="17" t="n">
        <v>25</v>
      </c>
      <c r="B50" s="18" t="n">
        <v>46559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9" t="str">
        <f aca="false">IF(COUNTA(D50:R50)=0,"",COUNTIF(D50:R50,"OK")/COUNTA(D50:R50))</f>
        <v/>
      </c>
      <c r="T50" s="14"/>
      <c r="U50" s="16"/>
      <c r="V50" s="14"/>
    </row>
    <row r="51" customFormat="false" ht="21.75" hidden="false" customHeight="true" outlineLevel="0" collapsed="false">
      <c r="A51" s="12" t="n">
        <v>26</v>
      </c>
      <c r="B51" s="13" t="n">
        <v>46566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5" t="str">
        <f aca="false">IF(COUNTA(D51:R51)=0,"",COUNTIF(D51:R51,"OK")/COUNTA(D51:R51))</f>
        <v/>
      </c>
      <c r="T51" s="14"/>
      <c r="U51" s="16"/>
      <c r="V51" s="14"/>
    </row>
    <row r="52" customFormat="false" ht="21.75" hidden="false" customHeight="true" outlineLevel="0" collapsed="false">
      <c r="A52" s="17" t="n">
        <v>27</v>
      </c>
      <c r="B52" s="18" t="n">
        <v>46573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9" t="str">
        <f aca="false">IF(COUNTA(D52:R52)=0,"",COUNTIF(D52:R52,"OK")/COUNTA(D52:R52))</f>
        <v/>
      </c>
      <c r="T52" s="14"/>
      <c r="U52" s="16"/>
      <c r="V52" s="14"/>
    </row>
    <row r="53" customFormat="false" ht="21.75" hidden="false" customHeight="true" outlineLevel="0" collapsed="false">
      <c r="A53" s="12" t="n">
        <v>28</v>
      </c>
      <c r="B53" s="13" t="n">
        <v>46580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5" t="str">
        <f aca="false">IF(COUNTA(D53:R53)=0,"",COUNTIF(D53:R53,"OK")/COUNTA(D53:R53))</f>
        <v/>
      </c>
      <c r="T53" s="14"/>
      <c r="U53" s="16"/>
      <c r="V53" s="14"/>
    </row>
    <row r="54" customFormat="false" ht="21.75" hidden="false" customHeight="true" outlineLevel="0" collapsed="false">
      <c r="A54" s="17" t="n">
        <v>29</v>
      </c>
      <c r="B54" s="18" t="n">
        <v>46587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9" t="str">
        <f aca="false">IF(COUNTA(D54:R54)=0,"",COUNTIF(D54:R54,"OK")/COUNTA(D54:R54))</f>
        <v/>
      </c>
      <c r="T54" s="14"/>
      <c r="U54" s="16"/>
      <c r="V54" s="14"/>
    </row>
    <row r="55" customFormat="false" ht="21.75" hidden="false" customHeight="true" outlineLevel="0" collapsed="false">
      <c r="A55" s="12" t="n">
        <v>30</v>
      </c>
      <c r="B55" s="13" t="n">
        <v>46594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5" t="str">
        <f aca="false">IF(COUNTA(D55:R55)=0,"",COUNTIF(D55:R55,"OK")/COUNTA(D55:R55))</f>
        <v/>
      </c>
      <c r="T55" s="14"/>
      <c r="U55" s="16"/>
      <c r="V55" s="14"/>
    </row>
    <row r="56" customFormat="false" ht="21.75" hidden="false" customHeight="true" outlineLevel="0" collapsed="false">
      <c r="A56" s="17" t="n">
        <v>31</v>
      </c>
      <c r="B56" s="18" t="n">
        <v>46601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9" t="str">
        <f aca="false">IF(COUNTA(D56:R56)=0,"",COUNTIF(D56:R56,"OK")/COUNTA(D56:R56))</f>
        <v/>
      </c>
      <c r="T56" s="14"/>
      <c r="U56" s="16"/>
      <c r="V56" s="14"/>
    </row>
  </sheetData>
  <mergeCells count="2">
    <mergeCell ref="A1:V1"/>
    <mergeCell ref="A2:V2"/>
  </mergeCells>
  <conditionalFormatting sqref="D5:R5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"NOK"</formula>
    </cfRule>
  </conditionalFormatting>
  <conditionalFormatting sqref="S5:S56">
    <cfRule type="cellIs" priority="4" operator="lessThan" aboveAverage="0" equalAverage="0" bottom="0" percent="0" rank="0" text="" dxfId="2">
      <formula>1</formula>
    </cfRule>
  </conditionalFormatting>
  <dataValidations count="1">
    <dataValidation allowBlank="true" errorStyle="stop" operator="between" showDropDown="false" showErrorMessage="false" showInputMessage="false" sqref="D5:R56" type="list">
      <formula1>"OK,NOK,N-A"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33.7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10" t="s">
        <v>81</v>
      </c>
      <c r="B4" s="10" t="s">
        <v>82</v>
      </c>
      <c r="C4" s="10" t="s">
        <v>83</v>
      </c>
      <c r="D4" s="10" t="s">
        <v>84</v>
      </c>
      <c r="E4" s="10" t="s">
        <v>85</v>
      </c>
      <c r="F4" s="10" t="s">
        <v>86</v>
      </c>
      <c r="G4" s="10" t="s">
        <v>87</v>
      </c>
    </row>
    <row r="5" customFormat="false" ht="31.5" hidden="false" customHeight="true" outlineLevel="0" collapsed="false">
      <c r="A5" s="20" t="n">
        <v>1</v>
      </c>
      <c r="B5" s="21" t="s">
        <v>60</v>
      </c>
      <c r="C5" s="12" t="s">
        <v>88</v>
      </c>
      <c r="D5" s="12" t="s">
        <v>89</v>
      </c>
      <c r="E5" s="12" t="s">
        <v>90</v>
      </c>
      <c r="F5" s="20" t="s">
        <v>91</v>
      </c>
      <c r="G5" s="20" t="s">
        <v>92</v>
      </c>
    </row>
    <row r="6" customFormat="false" ht="31.5" hidden="false" customHeight="true" outlineLevel="0" collapsed="false">
      <c r="A6" s="22" t="n">
        <v>2</v>
      </c>
      <c r="B6" s="23" t="s">
        <v>61</v>
      </c>
      <c r="C6" s="17" t="s">
        <v>93</v>
      </c>
      <c r="D6" s="17" t="s">
        <v>94</v>
      </c>
      <c r="E6" s="17" t="s">
        <v>95</v>
      </c>
      <c r="F6" s="22" t="s">
        <v>91</v>
      </c>
      <c r="G6" s="22" t="s">
        <v>96</v>
      </c>
    </row>
    <row r="7" customFormat="false" ht="31.5" hidden="false" customHeight="true" outlineLevel="0" collapsed="false">
      <c r="A7" s="20" t="n">
        <v>3</v>
      </c>
      <c r="B7" s="21" t="s">
        <v>62</v>
      </c>
      <c r="C7" s="12" t="s">
        <v>97</v>
      </c>
      <c r="D7" s="12" t="s">
        <v>98</v>
      </c>
      <c r="E7" s="12" t="s">
        <v>99</v>
      </c>
      <c r="F7" s="20" t="s">
        <v>91</v>
      </c>
      <c r="G7" s="20" t="s">
        <v>100</v>
      </c>
    </row>
    <row r="8" customFormat="false" ht="31.5" hidden="false" customHeight="true" outlineLevel="0" collapsed="false">
      <c r="A8" s="22" t="n">
        <v>4</v>
      </c>
      <c r="B8" s="23" t="s">
        <v>101</v>
      </c>
      <c r="C8" s="17" t="s">
        <v>102</v>
      </c>
      <c r="D8" s="17" t="s">
        <v>103</v>
      </c>
      <c r="E8" s="17" t="s">
        <v>104</v>
      </c>
      <c r="F8" s="22" t="s">
        <v>91</v>
      </c>
      <c r="G8" s="22" t="s">
        <v>92</v>
      </c>
    </row>
    <row r="9" customFormat="false" ht="31.5" hidden="false" customHeight="true" outlineLevel="0" collapsed="false">
      <c r="A9" s="20" t="n">
        <v>5</v>
      </c>
      <c r="B9" s="21" t="s">
        <v>105</v>
      </c>
      <c r="C9" s="12" t="s">
        <v>106</v>
      </c>
      <c r="D9" s="12" t="s">
        <v>107</v>
      </c>
      <c r="E9" s="12" t="s">
        <v>108</v>
      </c>
      <c r="F9" s="20" t="s">
        <v>91</v>
      </c>
      <c r="G9" s="20" t="s">
        <v>100</v>
      </c>
    </row>
    <row r="10" customFormat="false" ht="31.5" hidden="false" customHeight="true" outlineLevel="0" collapsed="false">
      <c r="A10" s="22" t="n">
        <v>6</v>
      </c>
      <c r="B10" s="23" t="s">
        <v>65</v>
      </c>
      <c r="C10" s="17" t="s">
        <v>109</v>
      </c>
      <c r="D10" s="17" t="s">
        <v>110</v>
      </c>
      <c r="E10" s="17" t="s">
        <v>111</v>
      </c>
      <c r="F10" s="22" t="s">
        <v>91</v>
      </c>
      <c r="G10" s="22" t="s">
        <v>96</v>
      </c>
    </row>
    <row r="11" customFormat="false" ht="31.5" hidden="false" customHeight="true" outlineLevel="0" collapsed="false">
      <c r="A11" s="20" t="n">
        <v>7</v>
      </c>
      <c r="B11" s="21" t="s">
        <v>66</v>
      </c>
      <c r="C11" s="12" t="s">
        <v>112</v>
      </c>
      <c r="D11" s="12" t="s">
        <v>113</v>
      </c>
      <c r="E11" s="12" t="s">
        <v>114</v>
      </c>
      <c r="F11" s="20" t="s">
        <v>91</v>
      </c>
      <c r="G11" s="20" t="s">
        <v>100</v>
      </c>
    </row>
    <row r="12" customFormat="false" ht="31.5" hidden="false" customHeight="true" outlineLevel="0" collapsed="false">
      <c r="A12" s="22" t="n">
        <v>8</v>
      </c>
      <c r="B12" s="23" t="s">
        <v>67</v>
      </c>
      <c r="C12" s="17" t="s">
        <v>115</v>
      </c>
      <c r="D12" s="17" t="s">
        <v>116</v>
      </c>
      <c r="E12" s="17" t="s">
        <v>117</v>
      </c>
      <c r="F12" s="22" t="s">
        <v>91</v>
      </c>
      <c r="G12" s="22" t="s">
        <v>100</v>
      </c>
    </row>
    <row r="13" customFormat="false" ht="31.5" hidden="false" customHeight="true" outlineLevel="0" collapsed="false">
      <c r="A13" s="20" t="n">
        <v>9</v>
      </c>
      <c r="B13" s="21" t="s">
        <v>118</v>
      </c>
      <c r="C13" s="12" t="s">
        <v>119</v>
      </c>
      <c r="D13" s="12" t="s">
        <v>120</v>
      </c>
      <c r="E13" s="12" t="s">
        <v>121</v>
      </c>
      <c r="F13" s="20" t="s">
        <v>91</v>
      </c>
      <c r="G13" s="20" t="s">
        <v>92</v>
      </c>
    </row>
    <row r="14" customFormat="false" ht="31.5" hidden="false" customHeight="true" outlineLevel="0" collapsed="false">
      <c r="A14" s="22" t="n">
        <v>10</v>
      </c>
      <c r="B14" s="23" t="s">
        <v>122</v>
      </c>
      <c r="C14" s="17" t="s">
        <v>123</v>
      </c>
      <c r="D14" s="17" t="s">
        <v>124</v>
      </c>
      <c r="E14" s="17" t="s">
        <v>125</v>
      </c>
      <c r="F14" s="22" t="s">
        <v>91</v>
      </c>
      <c r="G14" s="22" t="s">
        <v>100</v>
      </c>
    </row>
    <row r="15" customFormat="false" ht="31.5" hidden="false" customHeight="true" outlineLevel="0" collapsed="false">
      <c r="A15" s="20" t="n">
        <v>11</v>
      </c>
      <c r="B15" s="21" t="s">
        <v>126</v>
      </c>
      <c r="C15" s="12" t="s">
        <v>127</v>
      </c>
      <c r="D15" s="12" t="s">
        <v>128</v>
      </c>
      <c r="E15" s="12" t="s">
        <v>129</v>
      </c>
      <c r="F15" s="20" t="s">
        <v>91</v>
      </c>
      <c r="G15" s="20" t="s">
        <v>100</v>
      </c>
    </row>
    <row r="16" customFormat="false" ht="31.5" hidden="false" customHeight="true" outlineLevel="0" collapsed="false">
      <c r="A16" s="22" t="n">
        <v>12</v>
      </c>
      <c r="B16" s="23" t="s">
        <v>71</v>
      </c>
      <c r="C16" s="17" t="s">
        <v>130</v>
      </c>
      <c r="D16" s="17" t="s">
        <v>131</v>
      </c>
      <c r="E16" s="17" t="s">
        <v>132</v>
      </c>
      <c r="F16" s="22" t="s">
        <v>91</v>
      </c>
      <c r="G16" s="22" t="s">
        <v>100</v>
      </c>
    </row>
    <row r="17" customFormat="false" ht="31.5" hidden="false" customHeight="true" outlineLevel="0" collapsed="false">
      <c r="A17" s="20" t="n">
        <v>13</v>
      </c>
      <c r="B17" s="21" t="s">
        <v>133</v>
      </c>
      <c r="C17" s="12" t="s">
        <v>134</v>
      </c>
      <c r="D17" s="12" t="s">
        <v>135</v>
      </c>
      <c r="E17" s="12" t="s">
        <v>136</v>
      </c>
      <c r="F17" s="20" t="s">
        <v>91</v>
      </c>
      <c r="G17" s="20" t="s">
        <v>137</v>
      </c>
    </row>
    <row r="18" customFormat="false" ht="31.5" hidden="false" customHeight="true" outlineLevel="0" collapsed="false">
      <c r="A18" s="22" t="n">
        <v>14</v>
      </c>
      <c r="B18" s="23" t="s">
        <v>138</v>
      </c>
      <c r="C18" s="17" t="s">
        <v>139</v>
      </c>
      <c r="D18" s="17" t="s">
        <v>135</v>
      </c>
      <c r="E18" s="17" t="s">
        <v>140</v>
      </c>
      <c r="F18" s="22" t="s">
        <v>91</v>
      </c>
      <c r="G18" s="22" t="s">
        <v>137</v>
      </c>
    </row>
    <row r="19" customFormat="false" ht="31.5" hidden="false" customHeight="true" outlineLevel="0" collapsed="false">
      <c r="A19" s="20" t="n">
        <v>15</v>
      </c>
      <c r="B19" s="21" t="s">
        <v>74</v>
      </c>
      <c r="C19" s="12" t="s">
        <v>141</v>
      </c>
      <c r="D19" s="12" t="s">
        <v>142</v>
      </c>
      <c r="E19" s="12" t="s">
        <v>143</v>
      </c>
      <c r="F19" s="20" t="s">
        <v>91</v>
      </c>
      <c r="G19" s="20" t="s">
        <v>92</v>
      </c>
    </row>
    <row r="20" customFormat="false" ht="31.5" hidden="false" customHeight="true" outlineLevel="0" collapsed="false">
      <c r="A20" s="24"/>
      <c r="B20" s="25"/>
      <c r="C20" s="26"/>
      <c r="D20" s="26"/>
      <c r="E20" s="26"/>
      <c r="F20" s="24"/>
      <c r="G20" s="24"/>
    </row>
    <row r="21" customFormat="false" ht="31.5" hidden="false" customHeight="true" outlineLevel="0" collapsed="false">
      <c r="A21" s="24" t="s">
        <v>144</v>
      </c>
      <c r="B21" s="25" t="s">
        <v>145</v>
      </c>
      <c r="C21" s="26" t="s">
        <v>146</v>
      </c>
      <c r="D21" s="26" t="s">
        <v>147</v>
      </c>
      <c r="E21" s="26" t="s">
        <v>148</v>
      </c>
      <c r="F21" s="24" t="s">
        <v>149</v>
      </c>
      <c r="G21" s="24" t="s">
        <v>150</v>
      </c>
    </row>
    <row r="22" customFormat="false" ht="31.5" hidden="false" customHeight="true" outlineLevel="0" collapsed="false">
      <c r="A22" s="24" t="s">
        <v>151</v>
      </c>
      <c r="B22" s="25" t="s">
        <v>152</v>
      </c>
      <c r="C22" s="26" t="s">
        <v>153</v>
      </c>
      <c r="D22" s="26" t="s">
        <v>154</v>
      </c>
      <c r="E22" s="26" t="s">
        <v>155</v>
      </c>
      <c r="F22" s="24" t="s">
        <v>149</v>
      </c>
      <c r="G22" s="24" t="s">
        <v>150</v>
      </c>
    </row>
    <row r="23" customFormat="false" ht="31.5" hidden="false" customHeight="true" outlineLevel="0" collapsed="false">
      <c r="A23" s="24" t="s">
        <v>156</v>
      </c>
      <c r="B23" s="25" t="s">
        <v>157</v>
      </c>
      <c r="C23" s="26" t="s">
        <v>158</v>
      </c>
      <c r="D23" s="26" t="s">
        <v>159</v>
      </c>
      <c r="E23" s="26" t="s">
        <v>160</v>
      </c>
      <c r="F23" s="24" t="s">
        <v>161</v>
      </c>
      <c r="G23" s="24" t="s">
        <v>96</v>
      </c>
    </row>
    <row r="24" customFormat="false" ht="31.5" hidden="false" customHeight="true" outlineLevel="0" collapsed="false">
      <c r="A24" s="24" t="s">
        <v>162</v>
      </c>
      <c r="B24" s="25" t="s">
        <v>163</v>
      </c>
      <c r="C24" s="26" t="s">
        <v>164</v>
      </c>
      <c r="D24" s="26" t="s">
        <v>165</v>
      </c>
      <c r="E24" s="26" t="s">
        <v>166</v>
      </c>
      <c r="F24" s="24" t="s">
        <v>167</v>
      </c>
      <c r="G24" s="24" t="s">
        <v>168</v>
      </c>
    </row>
  </sheetData>
  <mergeCells count="2">
    <mergeCell ref="A1:G1"/>
    <mergeCell ref="A2:G2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7" min="16" style="0" width="8"/>
    <col collapsed="false" customWidth="true" hidden="false" outlineLevel="0" max="18" min="18" style="0" width="12"/>
    <col collapsed="false" customWidth="true" hidden="false" outlineLevel="0" max="19" min="19" style="0" width="40"/>
  </cols>
  <sheetData>
    <row r="1" customFormat="false" ht="33.75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51.75" hidden="false" customHeight="true" outlineLevel="0" collapsed="false">
      <c r="A4" s="10" t="s">
        <v>81</v>
      </c>
      <c r="B4" s="10" t="s">
        <v>171</v>
      </c>
      <c r="C4" s="10" t="s">
        <v>172</v>
      </c>
      <c r="D4" s="10" t="s">
        <v>173</v>
      </c>
      <c r="E4" s="10" t="s">
        <v>174</v>
      </c>
      <c r="F4" s="10" t="s">
        <v>175</v>
      </c>
      <c r="G4" s="10" t="s">
        <v>176</v>
      </c>
      <c r="H4" s="10" t="s">
        <v>177</v>
      </c>
      <c r="I4" s="10" t="s">
        <v>178</v>
      </c>
      <c r="J4" s="10" t="s">
        <v>179</v>
      </c>
      <c r="K4" s="10" t="s">
        <v>180</v>
      </c>
      <c r="L4" s="10" t="s">
        <v>181</v>
      </c>
      <c r="M4" s="10" t="s">
        <v>182</v>
      </c>
      <c r="N4" s="10" t="s">
        <v>183</v>
      </c>
      <c r="O4" s="10" t="s">
        <v>184</v>
      </c>
      <c r="P4" s="10" t="s">
        <v>185</v>
      </c>
      <c r="Q4" s="10" t="s">
        <v>186</v>
      </c>
      <c r="R4" s="10" t="s">
        <v>187</v>
      </c>
      <c r="S4" s="10" t="s">
        <v>188</v>
      </c>
    </row>
    <row r="5" customFormat="false" ht="19.5" hidden="false" customHeight="true" outlineLevel="0" collapsed="false">
      <c r="A5" s="20" t="n">
        <v>1</v>
      </c>
      <c r="B5" s="21" t="s">
        <v>189</v>
      </c>
      <c r="C5" s="12" t="s">
        <v>190</v>
      </c>
      <c r="D5" s="12" t="s">
        <v>191</v>
      </c>
      <c r="E5" s="20" t="n">
        <v>4</v>
      </c>
      <c r="F5" s="27" t="n">
        <v>45839</v>
      </c>
      <c r="G5" s="28" t="n">
        <v>6</v>
      </c>
      <c r="H5" s="29" t="n">
        <f aca="false">IF(OR(F5="",G5=""),"",EDATE(F5,G5))</f>
        <v>46023</v>
      </c>
      <c r="I5" s="30" t="str">
        <f aca="true">IF(G5="","Sur consommation",IF(F5="","A RENSEIGNER",IF(TODAY()&gt;=H5,"EN RETARD",IF(H5-TODAY()&lt;=30,"BIENTOT","OK"))))</f>
        <v>EN RETARD</v>
      </c>
      <c r="J5" s="28" t="n">
        <v>4820</v>
      </c>
      <c r="K5" s="31" t="s">
        <v>192</v>
      </c>
      <c r="L5" s="31" t="s">
        <v>193</v>
      </c>
      <c r="M5" s="32" t="n">
        <v>12.5</v>
      </c>
      <c r="N5" s="31" t="s">
        <v>194</v>
      </c>
      <c r="O5" s="31" t="s">
        <v>195</v>
      </c>
      <c r="P5" s="28" t="n">
        <v>8</v>
      </c>
      <c r="Q5" s="28" t="n">
        <v>4</v>
      </c>
      <c r="R5" s="30" t="str">
        <f aca="false">IF(P5="","",IF(P5&lt;=Q5,"COMMANDER","OK"))</f>
        <v>OK</v>
      </c>
      <c r="S5" s="31" t="s">
        <v>196</v>
      </c>
    </row>
    <row r="6" customFormat="false" ht="19.5" hidden="false" customHeight="true" outlineLevel="0" collapsed="false">
      <c r="A6" s="22" t="n">
        <v>2</v>
      </c>
      <c r="B6" s="23" t="s">
        <v>197</v>
      </c>
      <c r="C6" s="17" t="s">
        <v>198</v>
      </c>
      <c r="D6" s="17" t="s">
        <v>199</v>
      </c>
      <c r="E6" s="22" t="n">
        <v>4</v>
      </c>
      <c r="F6" s="27"/>
      <c r="G6" s="28" t="n">
        <v>8</v>
      </c>
      <c r="H6" s="29" t="str">
        <f aca="false">IF(OR(F6="",G6=""),"",EDATE(F6,G6))</f>
        <v/>
      </c>
      <c r="I6" s="30" t="str">
        <f aca="true">IF(G6="","Sur consommation",IF(F6="","A RENSEIGNER",IF(TODAY()&gt;=H6,"EN RETARD",IF(H6-TODAY()&lt;=30,"BIENTOT","OK"))))</f>
        <v>A RENSEIGNER</v>
      </c>
      <c r="J6" s="28"/>
      <c r="K6" s="31"/>
      <c r="L6" s="31"/>
      <c r="M6" s="32"/>
      <c r="N6" s="31"/>
      <c r="O6" s="31"/>
      <c r="P6" s="28"/>
      <c r="Q6" s="28" t="n">
        <v>4</v>
      </c>
      <c r="R6" s="30" t="str">
        <f aca="false">IF(P6="","",IF(P6&lt;=Q6,"COMMANDER","OK"))</f>
        <v/>
      </c>
      <c r="S6" s="31"/>
    </row>
    <row r="7" customFormat="false" ht="19.5" hidden="false" customHeight="true" outlineLevel="0" collapsed="false">
      <c r="A7" s="20" t="n">
        <v>3</v>
      </c>
      <c r="B7" s="21" t="s">
        <v>200</v>
      </c>
      <c r="C7" s="12" t="s">
        <v>201</v>
      </c>
      <c r="D7" s="12" t="s">
        <v>202</v>
      </c>
      <c r="E7" s="20" t="n">
        <v>1</v>
      </c>
      <c r="F7" s="27"/>
      <c r="G7" s="28" t="n">
        <v>12</v>
      </c>
      <c r="H7" s="29" t="str">
        <f aca="false">IF(OR(F7="",G7=""),"",EDATE(F7,G7))</f>
        <v/>
      </c>
      <c r="I7" s="30" t="str">
        <f aca="true">IF(G7="","Sur consommation",IF(F7="","A RENSEIGNER",IF(TODAY()&gt;=H7,"EN RETARD",IF(H7-TODAY()&lt;=30,"BIENTOT","OK"))))</f>
        <v>A RENSEIGNER</v>
      </c>
      <c r="J7" s="28"/>
      <c r="K7" s="31"/>
      <c r="L7" s="31"/>
      <c r="M7" s="32"/>
      <c r="N7" s="31"/>
      <c r="O7" s="31"/>
      <c r="P7" s="28"/>
      <c r="Q7" s="28" t="n">
        <v>1</v>
      </c>
      <c r="R7" s="30" t="str">
        <f aca="false">IF(P7="","",IF(P7&lt;=Q7,"COMMANDER","OK"))</f>
        <v/>
      </c>
      <c r="S7" s="31"/>
    </row>
    <row r="8" customFormat="false" ht="19.5" hidden="false" customHeight="true" outlineLevel="0" collapsed="false">
      <c r="A8" s="22" t="n">
        <v>4</v>
      </c>
      <c r="B8" s="23" t="s">
        <v>203</v>
      </c>
      <c r="C8" s="17" t="s">
        <v>204</v>
      </c>
      <c r="D8" s="17" t="s">
        <v>202</v>
      </c>
      <c r="E8" s="22" t="n">
        <v>1</v>
      </c>
      <c r="F8" s="27"/>
      <c r="G8" s="28" t="n">
        <v>12</v>
      </c>
      <c r="H8" s="29" t="str">
        <f aca="false">IF(OR(F8="",G8=""),"",EDATE(F8,G8))</f>
        <v/>
      </c>
      <c r="I8" s="30" t="str">
        <f aca="true">IF(G8="","Sur consommation",IF(F8="","A RENSEIGNER",IF(TODAY()&gt;=H8,"EN RETARD",IF(H8-TODAY()&lt;=30,"BIENTOT","OK"))))</f>
        <v>A RENSEIGNER</v>
      </c>
      <c r="J8" s="28"/>
      <c r="K8" s="31"/>
      <c r="L8" s="31"/>
      <c r="M8" s="32"/>
      <c r="N8" s="31"/>
      <c r="O8" s="31"/>
      <c r="P8" s="28"/>
      <c r="Q8" s="28" t="n">
        <v>1</v>
      </c>
      <c r="R8" s="30" t="str">
        <f aca="false">IF(P8="","",IF(P8&lt;=Q8,"COMMANDER","OK"))</f>
        <v/>
      </c>
      <c r="S8" s="31"/>
    </row>
    <row r="9" customFormat="false" ht="19.5" hidden="false" customHeight="true" outlineLevel="0" collapsed="false">
      <c r="A9" s="20" t="n">
        <v>5</v>
      </c>
      <c r="B9" s="21" t="s">
        <v>205</v>
      </c>
      <c r="C9" s="12" t="s">
        <v>206</v>
      </c>
      <c r="D9" s="12" t="s">
        <v>202</v>
      </c>
      <c r="E9" s="20" t="n">
        <v>1</v>
      </c>
      <c r="F9" s="27"/>
      <c r="G9" s="28" t="n">
        <v>12</v>
      </c>
      <c r="H9" s="29" t="str">
        <f aca="false">IF(OR(F9="",G9=""),"",EDATE(F9,G9))</f>
        <v/>
      </c>
      <c r="I9" s="30" t="str">
        <f aca="true">IF(G9="","Sur consommation",IF(F9="","A RENSEIGNER",IF(TODAY()&gt;=H9,"EN RETARD",IF(H9-TODAY()&lt;=30,"BIENTOT","OK"))))</f>
        <v>A RENSEIGNER</v>
      </c>
      <c r="J9" s="28"/>
      <c r="K9" s="31"/>
      <c r="L9" s="31"/>
      <c r="M9" s="32"/>
      <c r="N9" s="31"/>
      <c r="O9" s="31"/>
      <c r="P9" s="28"/>
      <c r="Q9" s="28" t="n">
        <v>1</v>
      </c>
      <c r="R9" s="30" t="str">
        <f aca="false">IF(P9="","",IF(P9&lt;=Q9,"COMMANDER","OK"))</f>
        <v/>
      </c>
      <c r="S9" s="31"/>
    </row>
    <row r="10" customFormat="false" ht="19.5" hidden="false" customHeight="true" outlineLevel="0" collapsed="false">
      <c r="A10" s="22" t="n">
        <v>6</v>
      </c>
      <c r="B10" s="23" t="s">
        <v>207</v>
      </c>
      <c r="C10" s="17" t="s">
        <v>208</v>
      </c>
      <c r="D10" s="17" t="s">
        <v>202</v>
      </c>
      <c r="E10" s="22" t="n">
        <v>1</v>
      </c>
      <c r="F10" s="27"/>
      <c r="G10" s="28" t="n">
        <v>12</v>
      </c>
      <c r="H10" s="29" t="str">
        <f aca="false">IF(OR(F10="",G10=""),"",EDATE(F10,G10))</f>
        <v/>
      </c>
      <c r="I10" s="30" t="str">
        <f aca="true">IF(G10="","Sur consommation",IF(F10="","A RENSEIGNER",IF(TODAY()&gt;=H10,"EN RETARD",IF(H10-TODAY()&lt;=30,"BIENTOT","OK"))))</f>
        <v>A RENSEIGNER</v>
      </c>
      <c r="J10" s="28"/>
      <c r="K10" s="31"/>
      <c r="L10" s="31"/>
      <c r="M10" s="32"/>
      <c r="N10" s="31"/>
      <c r="O10" s="31"/>
      <c r="P10" s="28"/>
      <c r="Q10" s="28" t="n">
        <v>1</v>
      </c>
      <c r="R10" s="30" t="str">
        <f aca="false">IF(P10="","",IF(P10&lt;=Q10,"COMMANDER","OK"))</f>
        <v/>
      </c>
      <c r="S10" s="31"/>
    </row>
    <row r="11" customFormat="false" ht="19.5" hidden="false" customHeight="true" outlineLevel="0" collapsed="false">
      <c r="A11" s="20" t="n">
        <v>7</v>
      </c>
      <c r="B11" s="21" t="s">
        <v>209</v>
      </c>
      <c r="C11" s="12" t="s">
        <v>210</v>
      </c>
      <c r="D11" s="12" t="s">
        <v>211</v>
      </c>
      <c r="E11" s="20" t="n">
        <v>2</v>
      </c>
      <c r="F11" s="27"/>
      <c r="G11" s="28" t="n">
        <v>6</v>
      </c>
      <c r="H11" s="29" t="str">
        <f aca="false">IF(OR(F11="",G11=""),"",EDATE(F11,G11))</f>
        <v/>
      </c>
      <c r="I11" s="30" t="str">
        <f aca="true">IF(G11="","Sur consommation",IF(F11="","A RENSEIGNER",IF(TODAY()&gt;=H11,"EN RETARD",IF(H11-TODAY()&lt;=30,"BIENTOT","OK"))))</f>
        <v>A RENSEIGNER</v>
      </c>
      <c r="J11" s="28"/>
      <c r="K11" s="31"/>
      <c r="L11" s="31"/>
      <c r="M11" s="32"/>
      <c r="N11" s="31"/>
      <c r="O11" s="31"/>
      <c r="P11" s="28"/>
      <c r="Q11" s="28" t="n">
        <v>2</v>
      </c>
      <c r="R11" s="30" t="str">
        <f aca="false">IF(P11="","",IF(P11&lt;=Q11,"COMMANDER","OK"))</f>
        <v/>
      </c>
      <c r="S11" s="31"/>
    </row>
    <row r="12" customFormat="false" ht="19.5" hidden="false" customHeight="true" outlineLevel="0" collapsed="false">
      <c r="A12" s="22" t="n">
        <v>8</v>
      </c>
      <c r="B12" s="23" t="s">
        <v>212</v>
      </c>
      <c r="C12" s="17" t="s">
        <v>213</v>
      </c>
      <c r="D12" s="17" t="s">
        <v>214</v>
      </c>
      <c r="E12" s="22" t="n">
        <v>2</v>
      </c>
      <c r="F12" s="27"/>
      <c r="G12" s="28" t="n">
        <v>6</v>
      </c>
      <c r="H12" s="29" t="str">
        <f aca="false">IF(OR(F12="",G12=""),"",EDATE(F12,G12))</f>
        <v/>
      </c>
      <c r="I12" s="30" t="str">
        <f aca="true">IF(G12="","Sur consommation",IF(F12="","A RENSEIGNER",IF(TODAY()&gt;=H12,"EN RETARD",IF(H12-TODAY()&lt;=30,"BIENTOT","OK"))))</f>
        <v>A RENSEIGNER</v>
      </c>
      <c r="J12" s="28"/>
      <c r="K12" s="31"/>
      <c r="L12" s="31"/>
      <c r="M12" s="32"/>
      <c r="N12" s="31"/>
      <c r="O12" s="31"/>
      <c r="P12" s="28"/>
      <c r="Q12" s="28" t="n">
        <v>2</v>
      </c>
      <c r="R12" s="30" t="str">
        <f aca="false">IF(P12="","",IF(P12&lt;=Q12,"COMMANDER","OK"))</f>
        <v/>
      </c>
      <c r="S12" s="31"/>
    </row>
    <row r="13" customFormat="false" ht="19.5" hidden="false" customHeight="true" outlineLevel="0" collapsed="false">
      <c r="A13" s="20" t="n">
        <v>9</v>
      </c>
      <c r="B13" s="21" t="s">
        <v>215</v>
      </c>
      <c r="C13" s="12" t="s">
        <v>216</v>
      </c>
      <c r="D13" s="12" t="s">
        <v>217</v>
      </c>
      <c r="E13" s="20" t="n">
        <v>2</v>
      </c>
      <c r="F13" s="27"/>
      <c r="G13" s="28" t="n">
        <v>6</v>
      </c>
      <c r="H13" s="29" t="str">
        <f aca="false">IF(OR(F13="",G13=""),"",EDATE(F13,G13))</f>
        <v/>
      </c>
      <c r="I13" s="30" t="str">
        <f aca="true">IF(G13="","Sur consommation",IF(F13="","A RENSEIGNER",IF(TODAY()&gt;=H13,"EN RETARD",IF(H13-TODAY()&lt;=30,"BIENTOT","OK"))))</f>
        <v>A RENSEIGNER</v>
      </c>
      <c r="J13" s="28"/>
      <c r="K13" s="31"/>
      <c r="L13" s="31"/>
      <c r="M13" s="32"/>
      <c r="N13" s="31"/>
      <c r="O13" s="31"/>
      <c r="P13" s="28"/>
      <c r="Q13" s="28" t="n">
        <v>1</v>
      </c>
      <c r="R13" s="30" t="str">
        <f aca="false">IF(P13="","",IF(P13&lt;=Q13,"COMMANDER","OK"))</f>
        <v/>
      </c>
      <c r="S13" s="31"/>
    </row>
    <row r="14" customFormat="false" ht="19.5" hidden="false" customHeight="true" outlineLevel="0" collapsed="false">
      <c r="A14" s="22" t="n">
        <v>10</v>
      </c>
      <c r="B14" s="23" t="s">
        <v>218</v>
      </c>
      <c r="C14" s="17" t="s">
        <v>216</v>
      </c>
      <c r="D14" s="17" t="s">
        <v>219</v>
      </c>
      <c r="E14" s="22" t="n">
        <v>2</v>
      </c>
      <c r="F14" s="27"/>
      <c r="G14" s="28" t="n">
        <v>3</v>
      </c>
      <c r="H14" s="29" t="str">
        <f aca="false">IF(OR(F14="",G14=""),"",EDATE(F14,G14))</f>
        <v/>
      </c>
      <c r="I14" s="30" t="str">
        <f aca="true">IF(G14="","Sur consommation",IF(F14="","A RENSEIGNER",IF(TODAY()&gt;=H14,"EN RETARD",IF(H14-TODAY()&lt;=30,"BIENTOT","OK"))))</f>
        <v>A RENSEIGNER</v>
      </c>
      <c r="J14" s="28"/>
      <c r="K14" s="31"/>
      <c r="L14" s="31"/>
      <c r="M14" s="32"/>
      <c r="N14" s="31"/>
      <c r="O14" s="31"/>
      <c r="P14" s="28"/>
      <c r="Q14" s="28" t="n">
        <v>4</v>
      </c>
      <c r="R14" s="30" t="str">
        <f aca="false">IF(P14="","",IF(P14&lt;=Q14,"COMMANDER","OK"))</f>
        <v/>
      </c>
      <c r="S14" s="31"/>
    </row>
    <row r="15" customFormat="false" ht="19.5" hidden="false" customHeight="true" outlineLevel="0" collapsed="false">
      <c r="A15" s="20" t="n">
        <v>11</v>
      </c>
      <c r="B15" s="21" t="s">
        <v>220</v>
      </c>
      <c r="C15" s="12" t="s">
        <v>221</v>
      </c>
      <c r="D15" s="12" t="s">
        <v>222</v>
      </c>
      <c r="E15" s="20" t="n">
        <v>1</v>
      </c>
      <c r="F15" s="27"/>
      <c r="G15" s="28" t="n">
        <v>12</v>
      </c>
      <c r="H15" s="29" t="str">
        <f aca="false">IF(OR(F15="",G15=""),"",EDATE(F15,G15))</f>
        <v/>
      </c>
      <c r="I15" s="30" t="str">
        <f aca="true">IF(G15="","Sur consommation",IF(F15="","A RENSEIGNER",IF(TODAY()&gt;=H15,"EN RETARD",IF(H15-TODAY()&lt;=30,"BIENTOT","OK"))))</f>
        <v>A RENSEIGNER</v>
      </c>
      <c r="J15" s="28"/>
      <c r="K15" s="31"/>
      <c r="L15" s="31"/>
      <c r="M15" s="32"/>
      <c r="N15" s="31"/>
      <c r="O15" s="31"/>
      <c r="P15" s="28"/>
      <c r="Q15" s="28" t="n">
        <v>1</v>
      </c>
      <c r="R15" s="30" t="str">
        <f aca="false">IF(P15="","",IF(P15&lt;=Q15,"COMMANDER","OK"))</f>
        <v/>
      </c>
      <c r="S15" s="31"/>
    </row>
    <row r="16" customFormat="false" ht="19.5" hidden="false" customHeight="true" outlineLevel="0" collapsed="false">
      <c r="A16" s="22" t="n">
        <v>12</v>
      </c>
      <c r="B16" s="23" t="s">
        <v>223</v>
      </c>
      <c r="C16" s="17" t="s">
        <v>224</v>
      </c>
      <c r="D16" s="17" t="s">
        <v>225</v>
      </c>
      <c r="E16" s="22" t="n">
        <v>1</v>
      </c>
      <c r="F16" s="27"/>
      <c r="G16" s="28" t="n">
        <v>18</v>
      </c>
      <c r="H16" s="29" t="str">
        <f aca="false">IF(OR(F16="",G16=""),"",EDATE(F16,G16))</f>
        <v/>
      </c>
      <c r="I16" s="30" t="str">
        <f aca="true">IF(G16="","Sur consommation",IF(F16="","A RENSEIGNER",IF(TODAY()&gt;=H16,"EN RETARD",IF(H16-TODAY()&lt;=30,"BIENTOT","OK"))))</f>
        <v>A RENSEIGNER</v>
      </c>
      <c r="J16" s="28"/>
      <c r="K16" s="31"/>
      <c r="L16" s="31"/>
      <c r="M16" s="32"/>
      <c r="N16" s="31"/>
      <c r="O16" s="31"/>
      <c r="P16" s="28"/>
      <c r="Q16" s="28" t="n">
        <v>0</v>
      </c>
      <c r="R16" s="30" t="str">
        <f aca="false">IF(P16="","",IF(P16&lt;=Q16,"COMMANDER","OK"))</f>
        <v/>
      </c>
      <c r="S16" s="31"/>
    </row>
    <row r="17" customFormat="false" ht="19.5" hidden="false" customHeight="true" outlineLevel="0" collapsed="false">
      <c r="A17" s="20" t="n">
        <v>13</v>
      </c>
      <c r="B17" s="21" t="s">
        <v>226</v>
      </c>
      <c r="C17" s="12" t="s">
        <v>227</v>
      </c>
      <c r="D17" s="12" t="s">
        <v>228</v>
      </c>
      <c r="E17" s="20" t="n">
        <v>1</v>
      </c>
      <c r="F17" s="27"/>
      <c r="G17" s="28" t="n">
        <v>12</v>
      </c>
      <c r="H17" s="29" t="str">
        <f aca="false">IF(OR(F17="",G17=""),"",EDATE(F17,G17))</f>
        <v/>
      </c>
      <c r="I17" s="30" t="str">
        <f aca="true">IF(G17="","Sur consommation",IF(F17="","A RENSEIGNER",IF(TODAY()&gt;=H17,"EN RETARD",IF(H17-TODAY()&lt;=30,"BIENTOT","OK"))))</f>
        <v>A RENSEIGNER</v>
      </c>
      <c r="J17" s="28"/>
      <c r="K17" s="31"/>
      <c r="L17" s="31"/>
      <c r="M17" s="32"/>
      <c r="N17" s="31"/>
      <c r="O17" s="31"/>
      <c r="P17" s="28"/>
      <c r="Q17" s="28" t="n">
        <v>1</v>
      </c>
      <c r="R17" s="30" t="str">
        <f aca="false">IF(P17="","",IF(P17&lt;=Q17,"COMMANDER","OK"))</f>
        <v/>
      </c>
      <c r="S17" s="31"/>
    </row>
    <row r="18" customFormat="false" ht="19.5" hidden="false" customHeight="true" outlineLevel="0" collapsed="false">
      <c r="A18" s="22" t="n">
        <v>14</v>
      </c>
      <c r="B18" s="23" t="s">
        <v>229</v>
      </c>
      <c r="C18" s="17" t="s">
        <v>230</v>
      </c>
      <c r="D18" s="17" t="s">
        <v>231</v>
      </c>
      <c r="E18" s="22" t="n">
        <v>1</v>
      </c>
      <c r="F18" s="27"/>
      <c r="G18" s="28" t="n">
        <v>6</v>
      </c>
      <c r="H18" s="29" t="str">
        <f aca="false">IF(OR(F18="",G18=""),"",EDATE(F18,G18))</f>
        <v/>
      </c>
      <c r="I18" s="30" t="str">
        <f aca="true">IF(G18="","Sur consommation",IF(F18="","A RENSEIGNER",IF(TODAY()&gt;=H18,"EN RETARD",IF(H18-TODAY()&lt;=30,"BIENTOT","OK"))))</f>
        <v>A RENSEIGNER</v>
      </c>
      <c r="J18" s="28"/>
      <c r="K18" s="31"/>
      <c r="L18" s="31"/>
      <c r="M18" s="32"/>
      <c r="N18" s="31"/>
      <c r="O18" s="31"/>
      <c r="P18" s="28"/>
      <c r="Q18" s="28" t="n">
        <v>2</v>
      </c>
      <c r="R18" s="30" t="str">
        <f aca="false">IF(P18="","",IF(P18&lt;=Q18,"COMMANDER","OK"))</f>
        <v/>
      </c>
      <c r="S18" s="31"/>
    </row>
    <row r="19" customFormat="false" ht="19.5" hidden="false" customHeight="true" outlineLevel="0" collapsed="false">
      <c r="A19" s="20" t="n">
        <v>15</v>
      </c>
      <c r="B19" s="21" t="s">
        <v>232</v>
      </c>
      <c r="C19" s="12" t="s">
        <v>233</v>
      </c>
      <c r="D19" s="12" t="s">
        <v>234</v>
      </c>
      <c r="E19" s="20" t="n">
        <v>1</v>
      </c>
      <c r="F19" s="27"/>
      <c r="G19" s="28" t="n">
        <v>24</v>
      </c>
      <c r="H19" s="29" t="str">
        <f aca="false">IF(OR(F19="",G19=""),"",EDATE(F19,G19))</f>
        <v/>
      </c>
      <c r="I19" s="30" t="str">
        <f aca="true">IF(G19="","Sur consommation",IF(F19="","A RENSEIGNER",IF(TODAY()&gt;=H19,"EN RETARD",IF(H19-TODAY()&lt;=30,"BIENTOT","OK"))))</f>
        <v>A RENSEIGNER</v>
      </c>
      <c r="J19" s="28"/>
      <c r="K19" s="31"/>
      <c r="L19" s="31"/>
      <c r="M19" s="32"/>
      <c r="N19" s="31"/>
      <c r="O19" s="31"/>
      <c r="P19" s="28"/>
      <c r="Q19" s="28" t="n">
        <v>1</v>
      </c>
      <c r="R19" s="30" t="str">
        <f aca="false">IF(P19="","",IF(P19&lt;=Q19,"COMMANDER","OK"))</f>
        <v/>
      </c>
      <c r="S19" s="31"/>
    </row>
    <row r="20" customFormat="false" ht="19.5" hidden="false" customHeight="true" outlineLevel="0" collapsed="false">
      <c r="A20" s="22" t="n">
        <v>16</v>
      </c>
      <c r="B20" s="23" t="s">
        <v>235</v>
      </c>
      <c r="C20" s="17" t="s">
        <v>236</v>
      </c>
      <c r="D20" s="17" t="s">
        <v>237</v>
      </c>
      <c r="E20" s="22" t="n">
        <v>4</v>
      </c>
      <c r="F20" s="27"/>
      <c r="G20" s="28" t="n">
        <v>24</v>
      </c>
      <c r="H20" s="29" t="str">
        <f aca="false">IF(OR(F20="",G20=""),"",EDATE(F20,G20))</f>
        <v/>
      </c>
      <c r="I20" s="30" t="str">
        <f aca="true">IF(G20="","Sur consommation",IF(F20="","A RENSEIGNER",IF(TODAY()&gt;=H20,"EN RETARD",IF(H20-TODAY()&lt;=30,"BIENTOT","OK"))))</f>
        <v>A RENSEIGNER</v>
      </c>
      <c r="J20" s="28"/>
      <c r="K20" s="31"/>
      <c r="L20" s="31"/>
      <c r="M20" s="32"/>
      <c r="N20" s="31"/>
      <c r="O20" s="31"/>
      <c r="P20" s="28"/>
      <c r="Q20" s="28" t="n">
        <v>0</v>
      </c>
      <c r="R20" s="30" t="str">
        <f aca="false">IF(P20="","",IF(P20&lt;=Q20,"COMMANDER","OK"))</f>
        <v/>
      </c>
      <c r="S20" s="31"/>
    </row>
    <row r="21" customFormat="false" ht="19.5" hidden="false" customHeight="true" outlineLevel="0" collapsed="false">
      <c r="A21" s="20" t="n">
        <v>17</v>
      </c>
      <c r="B21" s="21" t="s">
        <v>238</v>
      </c>
      <c r="C21" s="12" t="s">
        <v>233</v>
      </c>
      <c r="D21" s="12" t="s">
        <v>239</v>
      </c>
      <c r="E21" s="20" t="n">
        <v>1</v>
      </c>
      <c r="F21" s="27"/>
      <c r="G21" s="28" t="n">
        <v>24</v>
      </c>
      <c r="H21" s="29" t="str">
        <f aca="false">IF(OR(F21="",G21=""),"",EDATE(F21,G21))</f>
        <v/>
      </c>
      <c r="I21" s="30" t="str">
        <f aca="true">IF(G21="","Sur consommation",IF(F21="","A RENSEIGNER",IF(TODAY()&gt;=H21,"EN RETARD",IF(H21-TODAY()&lt;=30,"BIENTOT","OK"))))</f>
        <v>A RENSEIGNER</v>
      </c>
      <c r="J21" s="28"/>
      <c r="K21" s="31"/>
      <c r="L21" s="31"/>
      <c r="M21" s="32"/>
      <c r="N21" s="31"/>
      <c r="O21" s="31"/>
      <c r="P21" s="28"/>
      <c r="Q21" s="28" t="n">
        <v>1</v>
      </c>
      <c r="R21" s="30" t="str">
        <f aca="false">IF(P21="","",IF(P21&lt;=Q21,"COMMANDER","OK"))</f>
        <v/>
      </c>
      <c r="S21" s="31"/>
    </row>
    <row r="22" customFormat="false" ht="19.5" hidden="false" customHeight="true" outlineLevel="0" collapsed="false">
      <c r="A22" s="22" t="n">
        <v>18</v>
      </c>
      <c r="B22" s="23" t="s">
        <v>240</v>
      </c>
      <c r="C22" s="17" t="s">
        <v>241</v>
      </c>
      <c r="D22" s="17" t="s">
        <v>242</v>
      </c>
      <c r="E22" s="22" t="n">
        <v>1</v>
      </c>
      <c r="F22" s="27"/>
      <c r="G22" s="28" t="n">
        <v>24</v>
      </c>
      <c r="H22" s="29" t="str">
        <f aca="false">IF(OR(F22="",G22=""),"",EDATE(F22,G22))</f>
        <v/>
      </c>
      <c r="I22" s="30" t="str">
        <f aca="true">IF(G22="","Sur consommation",IF(F22="","A RENSEIGNER",IF(TODAY()&gt;=H22,"EN RETARD",IF(H22-TODAY()&lt;=30,"BIENTOT","OK"))))</f>
        <v>A RENSEIGNER</v>
      </c>
      <c r="J22" s="28"/>
      <c r="K22" s="31"/>
      <c r="L22" s="31"/>
      <c r="M22" s="32"/>
      <c r="N22" s="31"/>
      <c r="O22" s="31"/>
      <c r="P22" s="28"/>
      <c r="Q22" s="28" t="n">
        <v>0</v>
      </c>
      <c r="R22" s="30" t="str">
        <f aca="false">IF(P22="","",IF(P22&lt;=Q22,"COMMANDER","OK"))</f>
        <v/>
      </c>
      <c r="S22" s="31"/>
    </row>
    <row r="23" customFormat="false" ht="19.5" hidden="false" customHeight="true" outlineLevel="0" collapsed="false">
      <c r="A23" s="20" t="n">
        <v>19</v>
      </c>
      <c r="B23" s="21" t="s">
        <v>243</v>
      </c>
      <c r="C23" s="12" t="s">
        <v>244</v>
      </c>
      <c r="D23" s="12" t="s">
        <v>245</v>
      </c>
      <c r="E23" s="20" t="n">
        <v>6</v>
      </c>
      <c r="F23" s="27"/>
      <c r="G23" s="28" t="n">
        <v>24</v>
      </c>
      <c r="H23" s="29" t="str">
        <f aca="false">IF(OR(F23="",G23=""),"",EDATE(F23,G23))</f>
        <v/>
      </c>
      <c r="I23" s="30" t="str">
        <f aca="true">IF(G23="","Sur consommation",IF(F23="","A RENSEIGNER",IF(TODAY()&gt;=H23,"EN RETARD",IF(H23-TODAY()&lt;=30,"BIENTOT","OK"))))</f>
        <v>A RENSEIGNER</v>
      </c>
      <c r="J23" s="28"/>
      <c r="K23" s="31"/>
      <c r="L23" s="31"/>
      <c r="M23" s="32"/>
      <c r="N23" s="31"/>
      <c r="O23" s="31"/>
      <c r="P23" s="28"/>
      <c r="Q23" s="28" t="n">
        <v>0</v>
      </c>
      <c r="R23" s="30" t="str">
        <f aca="false">IF(P23="","",IF(P23&lt;=Q23,"COMMANDER","OK"))</f>
        <v/>
      </c>
      <c r="S23" s="31"/>
    </row>
    <row r="24" customFormat="false" ht="19.5" hidden="false" customHeight="true" outlineLevel="0" collapsed="false">
      <c r="A24" s="22" t="n">
        <v>20</v>
      </c>
      <c r="B24" s="23" t="s">
        <v>246</v>
      </c>
      <c r="C24" s="17" t="s">
        <v>247</v>
      </c>
      <c r="D24" s="17" t="s">
        <v>248</v>
      </c>
      <c r="E24" s="22" t="n">
        <v>1</v>
      </c>
      <c r="F24" s="27"/>
      <c r="G24" s="28" t="n">
        <v>24</v>
      </c>
      <c r="H24" s="29" t="str">
        <f aca="false">IF(OR(F24="",G24=""),"",EDATE(F24,G24))</f>
        <v/>
      </c>
      <c r="I24" s="30" t="str">
        <f aca="true">IF(G24="","Sur consommation",IF(F24="","A RENSEIGNER",IF(TODAY()&gt;=H24,"EN RETARD",IF(H24-TODAY()&lt;=30,"BIENTOT","OK"))))</f>
        <v>A RENSEIGNER</v>
      </c>
      <c r="J24" s="28"/>
      <c r="K24" s="31"/>
      <c r="L24" s="31"/>
      <c r="M24" s="32"/>
      <c r="N24" s="31"/>
      <c r="O24" s="31"/>
      <c r="P24" s="28"/>
      <c r="Q24" s="28" t="n">
        <v>0</v>
      </c>
      <c r="R24" s="30" t="str">
        <f aca="false">IF(P24="","",IF(P24&lt;=Q24,"COMMANDER","OK"))</f>
        <v/>
      </c>
      <c r="S24" s="31"/>
    </row>
    <row r="25" customFormat="false" ht="19.5" hidden="false" customHeight="true" outlineLevel="0" collapsed="false">
      <c r="A25" s="20" t="n">
        <v>21</v>
      </c>
      <c r="B25" s="21" t="s">
        <v>249</v>
      </c>
      <c r="C25" s="12" t="s">
        <v>250</v>
      </c>
      <c r="D25" s="12" t="s">
        <v>251</v>
      </c>
      <c r="E25" s="20" t="n">
        <v>4</v>
      </c>
      <c r="F25" s="27"/>
      <c r="G25" s="28" t="n">
        <v>24</v>
      </c>
      <c r="H25" s="29" t="str">
        <f aca="false">IF(OR(F25="",G25=""),"",EDATE(F25,G25))</f>
        <v/>
      </c>
      <c r="I25" s="30" t="str">
        <f aca="true">IF(G25="","Sur consommation",IF(F25="","A RENSEIGNER",IF(TODAY()&gt;=H25,"EN RETARD",IF(H25-TODAY()&lt;=30,"BIENTOT","OK"))))</f>
        <v>A RENSEIGNER</v>
      </c>
      <c r="J25" s="28"/>
      <c r="K25" s="31"/>
      <c r="L25" s="31"/>
      <c r="M25" s="32"/>
      <c r="N25" s="31"/>
      <c r="O25" s="31"/>
      <c r="P25" s="28"/>
      <c r="Q25" s="28" t="n">
        <v>1</v>
      </c>
      <c r="R25" s="30" t="str">
        <f aca="false">IF(P25="","",IF(P25&lt;=Q25,"COMMANDER","OK"))</f>
        <v/>
      </c>
      <c r="S25" s="31"/>
    </row>
    <row r="26" customFormat="false" ht="19.5" hidden="false" customHeight="true" outlineLevel="0" collapsed="false">
      <c r="A26" s="22" t="n">
        <v>22</v>
      </c>
      <c r="B26" s="23" t="s">
        <v>252</v>
      </c>
      <c r="C26" s="17" t="s">
        <v>253</v>
      </c>
      <c r="D26" s="17" t="s">
        <v>254</v>
      </c>
      <c r="E26" s="22" t="n">
        <v>1</v>
      </c>
      <c r="F26" s="27"/>
      <c r="G26" s="28" t="n">
        <v>36</v>
      </c>
      <c r="H26" s="29" t="str">
        <f aca="false">IF(OR(F26="",G26=""),"",EDATE(F26,G26))</f>
        <v/>
      </c>
      <c r="I26" s="30" t="str">
        <f aca="true">IF(G26="","Sur consommation",IF(F26="","A RENSEIGNER",IF(TODAY()&gt;=H26,"EN RETARD",IF(H26-TODAY()&lt;=30,"BIENTOT","OK"))))</f>
        <v>A RENSEIGNER</v>
      </c>
      <c r="J26" s="28"/>
      <c r="K26" s="31"/>
      <c r="L26" s="31"/>
      <c r="M26" s="32"/>
      <c r="N26" s="31"/>
      <c r="O26" s="31"/>
      <c r="P26" s="28"/>
      <c r="Q26" s="28" t="n">
        <v>0</v>
      </c>
      <c r="R26" s="30" t="str">
        <f aca="false">IF(P26="","",IF(P26&lt;=Q26,"COMMANDER","OK"))</f>
        <v/>
      </c>
      <c r="S26" s="31"/>
    </row>
    <row r="27" customFormat="false" ht="19.5" hidden="false" customHeight="true" outlineLevel="0" collapsed="false">
      <c r="A27" s="20" t="n">
        <v>23</v>
      </c>
      <c r="B27" s="21" t="s">
        <v>255</v>
      </c>
      <c r="C27" s="12" t="s">
        <v>253</v>
      </c>
      <c r="D27" s="12" t="s">
        <v>256</v>
      </c>
      <c r="E27" s="20" t="n">
        <v>1</v>
      </c>
      <c r="F27" s="27"/>
      <c r="G27" s="28" t="n">
        <v>12</v>
      </c>
      <c r="H27" s="29" t="str">
        <f aca="false">IF(OR(F27="",G27=""),"",EDATE(F27,G27))</f>
        <v/>
      </c>
      <c r="I27" s="30" t="str">
        <f aca="true">IF(G27="","Sur consommation",IF(F27="","A RENSEIGNER",IF(TODAY()&gt;=H27,"EN RETARD",IF(H27-TODAY()&lt;=30,"BIENTOT","OK"))))</f>
        <v>A RENSEIGNER</v>
      </c>
      <c r="J27" s="28"/>
      <c r="K27" s="31"/>
      <c r="L27" s="31"/>
      <c r="M27" s="32"/>
      <c r="N27" s="31"/>
      <c r="O27" s="31"/>
      <c r="P27" s="28"/>
      <c r="Q27" s="28" t="n">
        <v>1</v>
      </c>
      <c r="R27" s="30" t="str">
        <f aca="false">IF(P27="","",IF(P27&lt;=Q27,"COMMANDER","OK"))</f>
        <v/>
      </c>
      <c r="S27" s="31"/>
    </row>
    <row r="28" customFormat="false" ht="19.5" hidden="false" customHeight="true" outlineLevel="0" collapsed="false">
      <c r="A28" s="22" t="n">
        <v>24</v>
      </c>
      <c r="B28" s="23" t="s">
        <v>257</v>
      </c>
      <c r="C28" s="17" t="s">
        <v>253</v>
      </c>
      <c r="D28" s="17" t="s">
        <v>258</v>
      </c>
      <c r="E28" s="22" t="n">
        <v>1</v>
      </c>
      <c r="F28" s="27"/>
      <c r="G28" s="28" t="n">
        <v>3</v>
      </c>
      <c r="H28" s="29" t="str">
        <f aca="false">IF(OR(F28="",G28=""),"",EDATE(F28,G28))</f>
        <v/>
      </c>
      <c r="I28" s="30" t="str">
        <f aca="true">IF(G28="","Sur consommation",IF(F28="","A RENSEIGNER",IF(TODAY()&gt;=H28,"EN RETARD",IF(H28-TODAY()&lt;=30,"BIENTOT","OK"))))</f>
        <v>A RENSEIGNER</v>
      </c>
      <c r="J28" s="28"/>
      <c r="K28" s="31"/>
      <c r="L28" s="31"/>
      <c r="M28" s="32"/>
      <c r="N28" s="31"/>
      <c r="O28" s="31"/>
      <c r="P28" s="28"/>
      <c r="Q28" s="28" t="n">
        <v>3</v>
      </c>
      <c r="R28" s="30" t="str">
        <f aca="false">IF(P28="","",IF(P28&lt;=Q28,"COMMANDER","OK"))</f>
        <v/>
      </c>
      <c r="S28" s="31"/>
    </row>
    <row r="29" customFormat="false" ht="19.5" hidden="false" customHeight="true" outlineLevel="0" collapsed="false">
      <c r="A29" s="20" t="n">
        <v>25</v>
      </c>
      <c r="B29" s="21" t="s">
        <v>259</v>
      </c>
      <c r="C29" s="12" t="s">
        <v>260</v>
      </c>
      <c r="D29" s="12" t="s">
        <v>261</v>
      </c>
      <c r="E29" s="20" t="n">
        <v>1</v>
      </c>
      <c r="F29" s="27"/>
      <c r="G29" s="28" t="n">
        <v>6</v>
      </c>
      <c r="H29" s="29" t="str">
        <f aca="false">IF(OR(F29="",G29=""),"",EDATE(F29,G29))</f>
        <v/>
      </c>
      <c r="I29" s="30" t="str">
        <f aca="true">IF(G29="","Sur consommation",IF(F29="","A RENSEIGNER",IF(TODAY()&gt;=H29,"EN RETARD",IF(H29-TODAY()&lt;=30,"BIENTOT","OK"))))</f>
        <v>A RENSEIGNER</v>
      </c>
      <c r="J29" s="28"/>
      <c r="K29" s="31"/>
      <c r="L29" s="31"/>
      <c r="M29" s="32"/>
      <c r="N29" s="31"/>
      <c r="O29" s="31"/>
      <c r="P29" s="28"/>
      <c r="Q29" s="28" t="n">
        <v>2</v>
      </c>
      <c r="R29" s="30" t="str">
        <f aca="false">IF(P29="","",IF(P29&lt;=Q29,"COMMANDER","OK"))</f>
        <v/>
      </c>
      <c r="S29" s="31"/>
    </row>
    <row r="30" customFormat="false" ht="19.5" hidden="false" customHeight="true" outlineLevel="0" collapsed="false">
      <c r="A30" s="22" t="n">
        <v>26</v>
      </c>
      <c r="B30" s="23" t="s">
        <v>262</v>
      </c>
      <c r="C30" s="17" t="s">
        <v>260</v>
      </c>
      <c r="D30" s="17" t="s">
        <v>263</v>
      </c>
      <c r="E30" s="22" t="n">
        <v>1</v>
      </c>
      <c r="F30" s="27"/>
      <c r="G30" s="28" t="n">
        <v>36</v>
      </c>
      <c r="H30" s="29" t="str">
        <f aca="false">IF(OR(F30="",G30=""),"",EDATE(F30,G30))</f>
        <v/>
      </c>
      <c r="I30" s="30" t="str">
        <f aca="true">IF(G30="","Sur consommation",IF(F30="","A RENSEIGNER",IF(TODAY()&gt;=H30,"EN RETARD",IF(H30-TODAY()&lt;=30,"BIENTOT","OK"))))</f>
        <v>A RENSEIGNER</v>
      </c>
      <c r="J30" s="28"/>
      <c r="K30" s="31"/>
      <c r="L30" s="31"/>
      <c r="M30" s="32"/>
      <c r="N30" s="31"/>
      <c r="O30" s="31"/>
      <c r="P30" s="28"/>
      <c r="Q30" s="28" t="n">
        <v>0</v>
      </c>
      <c r="R30" s="30" t="str">
        <f aca="false">IF(P30="","",IF(P30&lt;=Q30,"COMMANDER","OK"))</f>
        <v/>
      </c>
      <c r="S30" s="31"/>
    </row>
    <row r="31" customFormat="false" ht="19.5" hidden="false" customHeight="true" outlineLevel="0" collapsed="false">
      <c r="A31" s="20" t="n">
        <v>27</v>
      </c>
      <c r="B31" s="21" t="s">
        <v>264</v>
      </c>
      <c r="C31" s="12" t="s">
        <v>265</v>
      </c>
      <c r="D31" s="12" t="s">
        <v>266</v>
      </c>
      <c r="E31" s="20" t="n">
        <v>1</v>
      </c>
      <c r="F31" s="27"/>
      <c r="G31" s="28" t="n">
        <v>3</v>
      </c>
      <c r="H31" s="29" t="str">
        <f aca="false">IF(OR(F31="",G31=""),"",EDATE(F31,G31))</f>
        <v/>
      </c>
      <c r="I31" s="30" t="str">
        <f aca="true">IF(G31="","Sur consommation",IF(F31="","A RENSEIGNER",IF(TODAY()&gt;=H31,"EN RETARD",IF(H31-TODAY()&lt;=30,"BIENTOT","OK"))))</f>
        <v>A RENSEIGNER</v>
      </c>
      <c r="J31" s="28"/>
      <c r="K31" s="31"/>
      <c r="L31" s="31"/>
      <c r="M31" s="32"/>
      <c r="N31" s="31"/>
      <c r="O31" s="31"/>
      <c r="P31" s="28"/>
      <c r="Q31" s="28" t="n">
        <v>1</v>
      </c>
      <c r="R31" s="30" t="str">
        <f aca="false">IF(P31="","",IF(P31&lt;=Q31,"COMMANDER","OK"))</f>
        <v/>
      </c>
      <c r="S31" s="31"/>
    </row>
    <row r="32" customFormat="false" ht="19.5" hidden="false" customHeight="true" outlineLevel="0" collapsed="false">
      <c r="A32" s="22" t="n">
        <v>28</v>
      </c>
      <c r="B32" s="23" t="s">
        <v>267</v>
      </c>
      <c r="C32" s="17" t="s">
        <v>268</v>
      </c>
      <c r="D32" s="17" t="s">
        <v>269</v>
      </c>
      <c r="E32" s="22" t="n">
        <v>1</v>
      </c>
      <c r="F32" s="27"/>
      <c r="G32" s="28" t="n">
        <v>6</v>
      </c>
      <c r="H32" s="29" t="str">
        <f aca="false">IF(OR(F32="",G32=""),"",EDATE(F32,G32))</f>
        <v/>
      </c>
      <c r="I32" s="30" t="str">
        <f aca="true">IF(G32="","Sur consommation",IF(F32="","A RENSEIGNER",IF(TODAY()&gt;=H32,"EN RETARD",IF(H32-TODAY()&lt;=30,"BIENTOT","OK"))))</f>
        <v>A RENSEIGNER</v>
      </c>
      <c r="J32" s="28"/>
      <c r="K32" s="31"/>
      <c r="L32" s="31"/>
      <c r="M32" s="32"/>
      <c r="N32" s="31"/>
      <c r="O32" s="31"/>
      <c r="P32" s="28"/>
      <c r="Q32" s="28" t="n">
        <v>2</v>
      </c>
      <c r="R32" s="30" t="str">
        <f aca="false">IF(P32="","",IF(P32&lt;=Q32,"COMMANDER","OK"))</f>
        <v/>
      </c>
      <c r="S32" s="31"/>
    </row>
    <row r="33" customFormat="false" ht="19.5" hidden="false" customHeight="true" outlineLevel="0" collapsed="false">
      <c r="A33" s="20" t="n">
        <v>29</v>
      </c>
      <c r="B33" s="21" t="s">
        <v>270</v>
      </c>
      <c r="C33" s="12" t="s">
        <v>271</v>
      </c>
      <c r="D33" s="12" t="s">
        <v>272</v>
      </c>
      <c r="E33" s="20" t="n">
        <v>4</v>
      </c>
      <c r="F33" s="27"/>
      <c r="G33" s="28" t="n">
        <v>24</v>
      </c>
      <c r="H33" s="29" t="str">
        <f aca="false">IF(OR(F33="",G33=""),"",EDATE(F33,G33))</f>
        <v/>
      </c>
      <c r="I33" s="30" t="str">
        <f aca="true">IF(G33="","Sur consommation",IF(F33="","A RENSEIGNER",IF(TODAY()&gt;=H33,"EN RETARD",IF(H33-TODAY()&lt;=30,"BIENTOT","OK"))))</f>
        <v>A RENSEIGNER</v>
      </c>
      <c r="J33" s="28"/>
      <c r="K33" s="31"/>
      <c r="L33" s="31"/>
      <c r="M33" s="32"/>
      <c r="N33" s="31"/>
      <c r="O33" s="31"/>
      <c r="P33" s="28"/>
      <c r="Q33" s="28" t="n">
        <v>2</v>
      </c>
      <c r="R33" s="30" t="str">
        <f aca="false">IF(P33="","",IF(P33&lt;=Q33,"COMMANDER","OK"))</f>
        <v/>
      </c>
      <c r="S33" s="31"/>
    </row>
    <row r="34" customFormat="false" ht="19.5" hidden="false" customHeight="true" outlineLevel="0" collapsed="false">
      <c r="A34" s="22" t="n">
        <v>30</v>
      </c>
      <c r="B34" s="23" t="s">
        <v>273</v>
      </c>
      <c r="C34" s="17" t="s">
        <v>274</v>
      </c>
      <c r="D34" s="17" t="s">
        <v>275</v>
      </c>
      <c r="E34" s="22" t="n">
        <v>1</v>
      </c>
      <c r="F34" s="27"/>
      <c r="G34" s="28"/>
      <c r="H34" s="29" t="str">
        <f aca="false">IF(OR(F34="",G34=""),"",EDATE(F34,G34))</f>
        <v/>
      </c>
      <c r="I34" s="30" t="str">
        <f aca="true">IF(G34="","Sur consommation",IF(F34="","A RENSEIGNER",IF(TODAY()&gt;=H34,"EN RETARD",IF(H34-TODAY()&lt;=30,"BIENTOT","OK"))))</f>
        <v>Sur consommation</v>
      </c>
      <c r="J34" s="28"/>
      <c r="K34" s="31"/>
      <c r="L34" s="31"/>
      <c r="M34" s="32"/>
      <c r="N34" s="31"/>
      <c r="O34" s="31"/>
      <c r="P34" s="28"/>
      <c r="Q34" s="28" t="n">
        <v>2</v>
      </c>
      <c r="R34" s="30" t="str">
        <f aca="false">IF(P34="","",IF(P34&lt;=Q34,"COMMANDER","OK"))</f>
        <v/>
      </c>
      <c r="S34" s="31"/>
    </row>
    <row r="35" customFormat="false" ht="19.5" hidden="false" customHeight="true" outlineLevel="0" collapsed="false">
      <c r="A35" s="20" t="n">
        <v>31</v>
      </c>
      <c r="B35" s="21" t="s">
        <v>276</v>
      </c>
      <c r="C35" s="12" t="s">
        <v>274</v>
      </c>
      <c r="D35" s="12" t="s">
        <v>277</v>
      </c>
      <c r="E35" s="20" t="n">
        <v>1</v>
      </c>
      <c r="F35" s="27"/>
      <c r="G35" s="28"/>
      <c r="H35" s="29" t="str">
        <f aca="false">IF(OR(F35="",G35=""),"",EDATE(F35,G35))</f>
        <v/>
      </c>
      <c r="I35" s="30" t="str">
        <f aca="true">IF(G35="","Sur consommation",IF(F35="","A RENSEIGNER",IF(TODAY()&gt;=H35,"EN RETARD",IF(H35-TODAY()&lt;=30,"BIENTOT","OK"))))</f>
        <v>Sur consommation</v>
      </c>
      <c r="J35" s="28"/>
      <c r="K35" s="31"/>
      <c r="L35" s="31"/>
      <c r="M35" s="32"/>
      <c r="N35" s="31"/>
      <c r="O35" s="31"/>
      <c r="P35" s="28"/>
      <c r="Q35" s="28" t="n">
        <v>1</v>
      </c>
      <c r="R35" s="30" t="str">
        <f aca="false">IF(P35="","",IF(P35&lt;=Q35,"COMMANDER","OK"))</f>
        <v/>
      </c>
      <c r="S35" s="31"/>
    </row>
    <row r="36" customFormat="false" ht="19.5" hidden="false" customHeight="true" outlineLevel="0" collapsed="false">
      <c r="A36" s="22" t="n">
        <v>32</v>
      </c>
      <c r="B36" s="23" t="s">
        <v>278</v>
      </c>
      <c r="C36" s="17" t="s">
        <v>274</v>
      </c>
      <c r="D36" s="17" t="s">
        <v>279</v>
      </c>
      <c r="E36" s="22" t="n">
        <v>1</v>
      </c>
      <c r="F36" s="27"/>
      <c r="G36" s="28"/>
      <c r="H36" s="29" t="str">
        <f aca="false">IF(OR(F36="",G36=""),"",EDATE(F36,G36))</f>
        <v/>
      </c>
      <c r="I36" s="30" t="str">
        <f aca="true">IF(G36="","Sur consommation",IF(F36="","A RENSEIGNER",IF(TODAY()&gt;=H36,"EN RETARD",IF(H36-TODAY()&lt;=30,"BIENTOT","OK"))))</f>
        <v>Sur consommation</v>
      </c>
      <c r="J36" s="28"/>
      <c r="K36" s="31"/>
      <c r="L36" s="31"/>
      <c r="M36" s="32"/>
      <c r="N36" s="31"/>
      <c r="O36" s="31"/>
      <c r="P36" s="28"/>
      <c r="Q36" s="28" t="n">
        <v>1</v>
      </c>
      <c r="R36" s="30" t="str">
        <f aca="false">IF(P36="","",IF(P36&lt;=Q36,"COMMANDER","OK"))</f>
        <v/>
      </c>
      <c r="S36" s="31"/>
    </row>
    <row r="37" customFormat="false" ht="19.5" hidden="false" customHeight="true" outlineLevel="0" collapsed="false">
      <c r="A37" s="20" t="n">
        <v>33</v>
      </c>
      <c r="B37" s="21" t="s">
        <v>280</v>
      </c>
      <c r="C37" s="12" t="s">
        <v>274</v>
      </c>
      <c r="D37" s="12" t="s">
        <v>281</v>
      </c>
      <c r="E37" s="20" t="n">
        <v>1</v>
      </c>
      <c r="F37" s="27"/>
      <c r="G37" s="28"/>
      <c r="H37" s="29" t="str">
        <f aca="false">IF(OR(F37="",G37=""),"",EDATE(F37,G37))</f>
        <v/>
      </c>
      <c r="I37" s="30" t="str">
        <f aca="true">IF(G37="","Sur consommation",IF(F37="","A RENSEIGNER",IF(TODAY()&gt;=H37,"EN RETARD",IF(H37-TODAY()&lt;=30,"BIENTOT","OK"))))</f>
        <v>Sur consommation</v>
      </c>
      <c r="J37" s="28"/>
      <c r="K37" s="31"/>
      <c r="L37" s="31"/>
      <c r="M37" s="32"/>
      <c r="N37" s="31"/>
      <c r="O37" s="31"/>
      <c r="P37" s="28"/>
      <c r="Q37" s="28" t="n">
        <v>1</v>
      </c>
      <c r="R37" s="30" t="str">
        <f aca="false">IF(P37="","",IF(P37&lt;=Q37,"COMMANDER","OK"))</f>
        <v/>
      </c>
      <c r="S37" s="31"/>
    </row>
    <row r="38" customFormat="false" ht="19.5" hidden="false" customHeight="true" outlineLevel="0" collapsed="false">
      <c r="A38" s="22" t="n">
        <v>34</v>
      </c>
      <c r="B38" s="23" t="s">
        <v>282</v>
      </c>
      <c r="C38" s="17" t="s">
        <v>274</v>
      </c>
      <c r="D38" s="17" t="s">
        <v>283</v>
      </c>
      <c r="E38" s="22" t="n">
        <v>1</v>
      </c>
      <c r="F38" s="27"/>
      <c r="G38" s="28"/>
      <c r="H38" s="29" t="str">
        <f aca="false">IF(OR(F38="",G38=""),"",EDATE(F38,G38))</f>
        <v/>
      </c>
      <c r="I38" s="30" t="str">
        <f aca="true">IF(G38="","Sur consommation",IF(F38="","A RENSEIGNER",IF(TODAY()&gt;=H38,"EN RETARD",IF(H38-TODAY()&lt;=30,"BIENTOT","OK"))))</f>
        <v>Sur consommation</v>
      </c>
      <c r="J38" s="28"/>
      <c r="K38" s="31"/>
      <c r="L38" s="31"/>
      <c r="M38" s="32"/>
      <c r="N38" s="31"/>
      <c r="O38" s="31"/>
      <c r="P38" s="28"/>
      <c r="Q38" s="28" t="n">
        <v>1</v>
      </c>
      <c r="R38" s="30" t="str">
        <f aca="false">IF(P38="","",IF(P38&lt;=Q38,"COMMANDER","OK"))</f>
        <v/>
      </c>
      <c r="S38" s="31"/>
    </row>
    <row r="39" customFormat="false" ht="19.5" hidden="false" customHeight="true" outlineLevel="0" collapsed="false">
      <c r="A39" s="20" t="n">
        <v>35</v>
      </c>
      <c r="B39" s="21" t="s">
        <v>284</v>
      </c>
      <c r="C39" s="12" t="s">
        <v>285</v>
      </c>
      <c r="D39" s="12" t="s">
        <v>286</v>
      </c>
      <c r="E39" s="20" t="n">
        <v>1</v>
      </c>
      <c r="F39" s="27"/>
      <c r="G39" s="28"/>
      <c r="H39" s="29" t="str">
        <f aca="false">IF(OR(F39="",G39=""),"",EDATE(F39,G39))</f>
        <v/>
      </c>
      <c r="I39" s="30" t="str">
        <f aca="true">IF(G39="","Sur consommation",IF(F39="","A RENSEIGNER",IF(TODAY()&gt;=H39,"EN RETARD",IF(H39-TODAY()&lt;=30,"BIENTOT","OK"))))</f>
        <v>Sur consommation</v>
      </c>
      <c r="J39" s="28"/>
      <c r="K39" s="31"/>
      <c r="L39" s="31"/>
      <c r="M39" s="32"/>
      <c r="N39" s="31"/>
      <c r="O39" s="31"/>
      <c r="P39" s="28"/>
      <c r="Q39" s="28" t="n">
        <v>3</v>
      </c>
      <c r="R39" s="30" t="str">
        <f aca="false">IF(P39="","",IF(P39&lt;=Q39,"COMMANDER","OK"))</f>
        <v/>
      </c>
      <c r="S39" s="31"/>
    </row>
    <row r="40" customFormat="false" ht="19.5" hidden="false" customHeight="true" outlineLevel="0" collapsed="false">
      <c r="A40" s="22" t="n">
        <v>36</v>
      </c>
      <c r="B40" s="23" t="s">
        <v>287</v>
      </c>
      <c r="C40" s="17" t="s">
        <v>288</v>
      </c>
      <c r="D40" s="17" t="s">
        <v>289</v>
      </c>
      <c r="E40" s="22" t="n">
        <v>1</v>
      </c>
      <c r="F40" s="27"/>
      <c r="G40" s="28"/>
      <c r="H40" s="29" t="str">
        <f aca="false">IF(OR(F40="",G40=""),"",EDATE(F40,G40))</f>
        <v/>
      </c>
      <c r="I40" s="30" t="str">
        <f aca="true">IF(G40="","Sur consommation",IF(F40="","A RENSEIGNER",IF(TODAY()&gt;=H40,"EN RETARD",IF(H40-TODAY()&lt;=30,"BIENTOT","OK"))))</f>
        <v>Sur consommation</v>
      </c>
      <c r="J40" s="28"/>
      <c r="K40" s="31"/>
      <c r="L40" s="31"/>
      <c r="M40" s="32"/>
      <c r="N40" s="31"/>
      <c r="O40" s="31"/>
      <c r="P40" s="28"/>
      <c r="Q40" s="28" t="n">
        <v>5</v>
      </c>
      <c r="R40" s="30" t="str">
        <f aca="false">IF(P40="","",IF(P40&lt;=Q40,"COMMANDER","OK"))</f>
        <v/>
      </c>
      <c r="S40" s="31"/>
    </row>
    <row r="41" customFormat="false" ht="19.5" hidden="false" customHeight="true" outlineLevel="0" collapsed="false">
      <c r="A41" s="20" t="n">
        <v>37</v>
      </c>
      <c r="B41" s="21" t="s">
        <v>290</v>
      </c>
      <c r="C41" s="12" t="s">
        <v>291</v>
      </c>
      <c r="D41" s="12" t="s">
        <v>292</v>
      </c>
      <c r="E41" s="20" t="n">
        <v>1</v>
      </c>
      <c r="F41" s="27"/>
      <c r="G41" s="28"/>
      <c r="H41" s="29" t="str">
        <f aca="false">IF(OR(F41="",G41=""),"",EDATE(F41,G41))</f>
        <v/>
      </c>
      <c r="I41" s="30" t="str">
        <f aca="true">IF(G41="","Sur consommation",IF(F41="","A RENSEIGNER",IF(TODAY()&gt;=H41,"EN RETARD",IF(H41-TODAY()&lt;=30,"BIENTOT","OK"))))</f>
        <v>Sur consommation</v>
      </c>
      <c r="J41" s="28"/>
      <c r="K41" s="31"/>
      <c r="L41" s="31"/>
      <c r="M41" s="32"/>
      <c r="N41" s="31"/>
      <c r="O41" s="31"/>
      <c r="P41" s="28"/>
      <c r="Q41" s="28" t="n">
        <v>2</v>
      </c>
      <c r="R41" s="30" t="str">
        <f aca="false">IF(P41="","",IF(P41&lt;=Q41,"COMMANDER","OK"))</f>
        <v/>
      </c>
      <c r="S41" s="31"/>
    </row>
    <row r="43" customFormat="false" ht="15" hidden="false" customHeight="false" outlineLevel="0" collapsed="false">
      <c r="B43" s="3" t="s">
        <v>293</v>
      </c>
      <c r="M43" s="33" t="n">
        <f aca="false">SUMPRODUCT(E5:E41,N(M5:M41))</f>
        <v>50</v>
      </c>
    </row>
    <row r="44" customFormat="false" ht="15" hidden="false" customHeight="false" outlineLevel="0" collapsed="false">
      <c r="B44" s="3" t="s">
        <v>294</v>
      </c>
      <c r="M44" s="34" t="n">
        <f aca="false">COUNTIF(I5:I41,"EN RETARD")</f>
        <v>1</v>
      </c>
    </row>
    <row r="45" customFormat="false" ht="15" hidden="false" customHeight="false" outlineLevel="0" collapsed="false">
      <c r="B45" s="3" t="s">
        <v>295</v>
      </c>
      <c r="M45" s="34" t="n">
        <f aca="false">COUNTIF(R5:R41,"COMMANDER")</f>
        <v>0</v>
      </c>
    </row>
    <row r="47" customFormat="false" ht="15" hidden="false" customHeight="false" outlineLevel="0" collapsed="false">
      <c r="B47" s="5" t="s">
        <v>296</v>
      </c>
    </row>
  </sheetData>
  <mergeCells count="2">
    <mergeCell ref="A1:S1"/>
    <mergeCell ref="A2:S2"/>
  </mergeCells>
  <conditionalFormatting sqref="I5:I41">
    <cfRule type="cellIs" priority="2" operator="equal" aboveAverage="0" equalAverage="0" bottom="0" percent="0" rank="0" text="" dxfId="1">
      <formula>"EN RETARD"</formula>
    </cfRule>
    <cfRule type="cellIs" priority="3" operator="equal" aboveAverage="0" equalAverage="0" bottom="0" percent="0" rank="0" text="" dxfId="3">
      <formula>"BIENTOT"</formula>
    </cfRule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4">
      <formula>"A RENSEIGNER"</formula>
    </cfRule>
  </conditionalFormatting>
  <conditionalFormatting sqref="R5:R41">
    <cfRule type="cellIs" priority="6" operator="equal" aboveAverage="0" equalAverage="0" bottom="0" percent="0" rank="0" text="" dxfId="1">
      <formula>"COMMANDER"</formula>
    </cfRule>
    <cfRule type="cellIs" priority="7" operator="equal" aboveAverage="0" equalAverage="0" bottom="0" percent="0" rank="0" text="" dxfId="0">
      <formula>"OK"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45"/>
  </cols>
  <sheetData>
    <row r="1" customFormat="false" ht="33.75" hidden="false" customHeight="true" outlineLevel="0" collapsed="false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9.75" hidden="false" customHeight="true" outlineLevel="0" collapsed="false">
      <c r="A4" s="10" t="s">
        <v>58</v>
      </c>
      <c r="B4" s="10" t="s">
        <v>299</v>
      </c>
      <c r="C4" s="10" t="s">
        <v>171</v>
      </c>
      <c r="D4" s="10" t="s">
        <v>300</v>
      </c>
      <c r="E4" s="10" t="s">
        <v>174</v>
      </c>
      <c r="F4" s="10" t="s">
        <v>301</v>
      </c>
      <c r="G4" s="10" t="s">
        <v>302</v>
      </c>
      <c r="H4" s="10" t="s">
        <v>303</v>
      </c>
      <c r="I4" s="10" t="s">
        <v>180</v>
      </c>
      <c r="J4" s="10" t="s">
        <v>304</v>
      </c>
      <c r="K4" s="10" t="s">
        <v>184</v>
      </c>
      <c r="L4" s="10" t="s">
        <v>305</v>
      </c>
      <c r="M4" s="10" t="s">
        <v>306</v>
      </c>
      <c r="N4" s="10" t="s">
        <v>307</v>
      </c>
    </row>
    <row r="5" customFormat="false" ht="19.5" hidden="false" customHeight="true" outlineLevel="0" collapsed="false">
      <c r="A5" s="27" t="n">
        <v>45839</v>
      </c>
      <c r="B5" s="28" t="s">
        <v>308</v>
      </c>
      <c r="C5" s="31" t="s">
        <v>189</v>
      </c>
      <c r="D5" s="31" t="s">
        <v>191</v>
      </c>
      <c r="E5" s="28" t="n">
        <v>4</v>
      </c>
      <c r="F5" s="31" t="s">
        <v>309</v>
      </c>
      <c r="G5" s="28" t="n">
        <v>4820</v>
      </c>
      <c r="H5" s="32" t="n">
        <v>50</v>
      </c>
      <c r="I5" s="31" t="s">
        <v>192</v>
      </c>
      <c r="J5" s="31" t="s">
        <v>193</v>
      </c>
      <c r="K5" s="31" t="s">
        <v>195</v>
      </c>
      <c r="L5" s="28" t="n">
        <v>2.5</v>
      </c>
      <c r="M5" s="28" t="s">
        <v>310</v>
      </c>
      <c r="N5" s="31" t="s">
        <v>311</v>
      </c>
    </row>
    <row r="6" customFormat="false" ht="19.5" hidden="false" customHeight="true" outlineLevel="0" collapsed="false">
      <c r="A6" s="27"/>
      <c r="B6" s="28"/>
      <c r="C6" s="31"/>
      <c r="D6" s="31"/>
      <c r="E6" s="28"/>
      <c r="F6" s="31"/>
      <c r="G6" s="28"/>
      <c r="H6" s="32"/>
      <c r="I6" s="31"/>
      <c r="J6" s="31"/>
      <c r="K6" s="31"/>
      <c r="L6" s="28"/>
      <c r="M6" s="28"/>
      <c r="N6" s="31"/>
    </row>
    <row r="7" customFormat="false" ht="19.5" hidden="false" customHeight="true" outlineLevel="0" collapsed="false">
      <c r="A7" s="27"/>
      <c r="B7" s="28"/>
      <c r="C7" s="31"/>
      <c r="D7" s="31"/>
      <c r="E7" s="28"/>
      <c r="F7" s="31"/>
      <c r="G7" s="28"/>
      <c r="H7" s="32"/>
      <c r="I7" s="31"/>
      <c r="J7" s="31"/>
      <c r="K7" s="31"/>
      <c r="L7" s="28"/>
      <c r="M7" s="28"/>
      <c r="N7" s="31"/>
    </row>
    <row r="8" customFormat="false" ht="19.5" hidden="false" customHeight="true" outlineLevel="0" collapsed="false">
      <c r="A8" s="27"/>
      <c r="B8" s="28"/>
      <c r="C8" s="31"/>
      <c r="D8" s="31"/>
      <c r="E8" s="28"/>
      <c r="F8" s="31"/>
      <c r="G8" s="28"/>
      <c r="H8" s="32"/>
      <c r="I8" s="31"/>
      <c r="J8" s="31"/>
      <c r="K8" s="31"/>
      <c r="L8" s="28"/>
      <c r="M8" s="28"/>
      <c r="N8" s="31"/>
    </row>
    <row r="9" customFormat="false" ht="19.5" hidden="false" customHeight="true" outlineLevel="0" collapsed="false">
      <c r="A9" s="27"/>
      <c r="B9" s="28"/>
      <c r="C9" s="31"/>
      <c r="D9" s="31"/>
      <c r="E9" s="28"/>
      <c r="F9" s="31"/>
      <c r="G9" s="28"/>
      <c r="H9" s="32"/>
      <c r="I9" s="31"/>
      <c r="J9" s="31"/>
      <c r="K9" s="31"/>
      <c r="L9" s="28"/>
      <c r="M9" s="28"/>
      <c r="N9" s="31"/>
    </row>
    <row r="10" customFormat="false" ht="19.5" hidden="false" customHeight="true" outlineLevel="0" collapsed="false">
      <c r="A10" s="27"/>
      <c r="B10" s="28"/>
      <c r="C10" s="31"/>
      <c r="D10" s="31"/>
      <c r="E10" s="28"/>
      <c r="F10" s="31"/>
      <c r="G10" s="28"/>
      <c r="H10" s="32"/>
      <c r="I10" s="31"/>
      <c r="J10" s="31"/>
      <c r="K10" s="31"/>
      <c r="L10" s="28"/>
      <c r="M10" s="28"/>
      <c r="N10" s="31"/>
    </row>
    <row r="11" customFormat="false" ht="19.5" hidden="false" customHeight="true" outlineLevel="0" collapsed="false">
      <c r="A11" s="27"/>
      <c r="B11" s="28"/>
      <c r="C11" s="31"/>
      <c r="D11" s="31"/>
      <c r="E11" s="28"/>
      <c r="F11" s="31"/>
      <c r="G11" s="28"/>
      <c r="H11" s="32"/>
      <c r="I11" s="31"/>
      <c r="J11" s="31"/>
      <c r="K11" s="31"/>
      <c r="L11" s="28"/>
      <c r="M11" s="28"/>
      <c r="N11" s="31"/>
    </row>
    <row r="12" customFormat="false" ht="19.5" hidden="false" customHeight="true" outlineLevel="0" collapsed="false">
      <c r="A12" s="27"/>
      <c r="B12" s="28"/>
      <c r="C12" s="31"/>
      <c r="D12" s="31"/>
      <c r="E12" s="28"/>
      <c r="F12" s="31"/>
      <c r="G12" s="28"/>
      <c r="H12" s="32"/>
      <c r="I12" s="31"/>
      <c r="J12" s="31"/>
      <c r="K12" s="31"/>
      <c r="L12" s="28"/>
      <c r="M12" s="28"/>
      <c r="N12" s="31"/>
    </row>
    <row r="13" customFormat="false" ht="19.5" hidden="false" customHeight="true" outlineLevel="0" collapsed="false">
      <c r="A13" s="27"/>
      <c r="B13" s="28"/>
      <c r="C13" s="31"/>
      <c r="D13" s="31"/>
      <c r="E13" s="28"/>
      <c r="F13" s="31"/>
      <c r="G13" s="28"/>
      <c r="H13" s="32"/>
      <c r="I13" s="31"/>
      <c r="J13" s="31"/>
      <c r="K13" s="31"/>
      <c r="L13" s="28"/>
      <c r="M13" s="28"/>
      <c r="N13" s="31"/>
    </row>
    <row r="14" customFormat="false" ht="19.5" hidden="false" customHeight="true" outlineLevel="0" collapsed="false">
      <c r="A14" s="27"/>
      <c r="B14" s="28"/>
      <c r="C14" s="31"/>
      <c r="D14" s="31"/>
      <c r="E14" s="28"/>
      <c r="F14" s="31"/>
      <c r="G14" s="28"/>
      <c r="H14" s="32"/>
      <c r="I14" s="31"/>
      <c r="J14" s="31"/>
      <c r="K14" s="31"/>
      <c r="L14" s="28"/>
      <c r="M14" s="28"/>
      <c r="N14" s="31"/>
    </row>
    <row r="15" customFormat="false" ht="19.5" hidden="false" customHeight="true" outlineLevel="0" collapsed="false">
      <c r="A15" s="27"/>
      <c r="B15" s="28"/>
      <c r="C15" s="31"/>
      <c r="D15" s="31"/>
      <c r="E15" s="28"/>
      <c r="F15" s="31"/>
      <c r="G15" s="28"/>
      <c r="H15" s="32"/>
      <c r="I15" s="31"/>
      <c r="J15" s="31"/>
      <c r="K15" s="31"/>
      <c r="L15" s="28"/>
      <c r="M15" s="28"/>
      <c r="N15" s="31"/>
    </row>
    <row r="16" customFormat="false" ht="19.5" hidden="false" customHeight="true" outlineLevel="0" collapsed="false">
      <c r="A16" s="27"/>
      <c r="B16" s="28"/>
      <c r="C16" s="31"/>
      <c r="D16" s="31"/>
      <c r="E16" s="28"/>
      <c r="F16" s="31"/>
      <c r="G16" s="28"/>
      <c r="H16" s="32"/>
      <c r="I16" s="31"/>
      <c r="J16" s="31"/>
      <c r="K16" s="31"/>
      <c r="L16" s="28"/>
      <c r="M16" s="28"/>
      <c r="N16" s="31"/>
    </row>
    <row r="17" customFormat="false" ht="19.5" hidden="false" customHeight="true" outlineLevel="0" collapsed="false">
      <c r="A17" s="27"/>
      <c r="B17" s="28"/>
      <c r="C17" s="31"/>
      <c r="D17" s="31"/>
      <c r="E17" s="28"/>
      <c r="F17" s="31"/>
      <c r="G17" s="28"/>
      <c r="H17" s="32"/>
      <c r="I17" s="31"/>
      <c r="J17" s="31"/>
      <c r="K17" s="31"/>
      <c r="L17" s="28"/>
      <c r="M17" s="28"/>
      <c r="N17" s="31"/>
    </row>
    <row r="18" customFormat="false" ht="19.5" hidden="false" customHeight="true" outlineLevel="0" collapsed="false">
      <c r="A18" s="27"/>
      <c r="B18" s="28"/>
      <c r="C18" s="31"/>
      <c r="D18" s="31"/>
      <c r="E18" s="28"/>
      <c r="F18" s="31"/>
      <c r="G18" s="28"/>
      <c r="H18" s="32"/>
      <c r="I18" s="31"/>
      <c r="J18" s="31"/>
      <c r="K18" s="31"/>
      <c r="L18" s="28"/>
      <c r="M18" s="28"/>
      <c r="N18" s="31"/>
    </row>
    <row r="19" customFormat="false" ht="19.5" hidden="false" customHeight="true" outlineLevel="0" collapsed="false">
      <c r="A19" s="27"/>
      <c r="B19" s="28"/>
      <c r="C19" s="31"/>
      <c r="D19" s="31"/>
      <c r="E19" s="28"/>
      <c r="F19" s="31"/>
      <c r="G19" s="28"/>
      <c r="H19" s="32"/>
      <c r="I19" s="31"/>
      <c r="J19" s="31"/>
      <c r="K19" s="31"/>
      <c r="L19" s="28"/>
      <c r="M19" s="28"/>
      <c r="N19" s="31"/>
    </row>
    <row r="20" customFormat="false" ht="19.5" hidden="false" customHeight="true" outlineLevel="0" collapsed="false">
      <c r="A20" s="27"/>
      <c r="B20" s="28"/>
      <c r="C20" s="31"/>
      <c r="D20" s="31"/>
      <c r="E20" s="28"/>
      <c r="F20" s="31"/>
      <c r="G20" s="28"/>
      <c r="H20" s="32"/>
      <c r="I20" s="31"/>
      <c r="J20" s="31"/>
      <c r="K20" s="31"/>
      <c r="L20" s="28"/>
      <c r="M20" s="28"/>
      <c r="N20" s="31"/>
    </row>
    <row r="21" customFormat="false" ht="19.5" hidden="false" customHeight="true" outlineLevel="0" collapsed="false">
      <c r="A21" s="27"/>
      <c r="B21" s="28"/>
      <c r="C21" s="31"/>
      <c r="D21" s="31"/>
      <c r="E21" s="28"/>
      <c r="F21" s="31"/>
      <c r="G21" s="28"/>
      <c r="H21" s="32"/>
      <c r="I21" s="31"/>
      <c r="J21" s="31"/>
      <c r="K21" s="31"/>
      <c r="L21" s="28"/>
      <c r="M21" s="28"/>
      <c r="N21" s="31"/>
    </row>
    <row r="22" customFormat="false" ht="19.5" hidden="false" customHeight="true" outlineLevel="0" collapsed="false">
      <c r="A22" s="27"/>
      <c r="B22" s="28"/>
      <c r="C22" s="31"/>
      <c r="D22" s="31"/>
      <c r="E22" s="28"/>
      <c r="F22" s="31"/>
      <c r="G22" s="28"/>
      <c r="H22" s="32"/>
      <c r="I22" s="31"/>
      <c r="J22" s="31"/>
      <c r="K22" s="31"/>
      <c r="L22" s="28"/>
      <c r="M22" s="28"/>
      <c r="N22" s="31"/>
    </row>
    <row r="23" customFormat="false" ht="19.5" hidden="false" customHeight="true" outlineLevel="0" collapsed="false">
      <c r="A23" s="27"/>
      <c r="B23" s="28"/>
      <c r="C23" s="31"/>
      <c r="D23" s="31"/>
      <c r="E23" s="28"/>
      <c r="F23" s="31"/>
      <c r="G23" s="28"/>
      <c r="H23" s="32"/>
      <c r="I23" s="31"/>
      <c r="J23" s="31"/>
      <c r="K23" s="31"/>
      <c r="L23" s="28"/>
      <c r="M23" s="28"/>
      <c r="N23" s="31"/>
    </row>
    <row r="24" customFormat="false" ht="19.5" hidden="false" customHeight="true" outlineLevel="0" collapsed="false">
      <c r="A24" s="27"/>
      <c r="B24" s="28"/>
      <c r="C24" s="31"/>
      <c r="D24" s="31"/>
      <c r="E24" s="28"/>
      <c r="F24" s="31"/>
      <c r="G24" s="28"/>
      <c r="H24" s="32"/>
      <c r="I24" s="31"/>
      <c r="J24" s="31"/>
      <c r="K24" s="31"/>
      <c r="L24" s="28"/>
      <c r="M24" s="28"/>
      <c r="N24" s="31"/>
    </row>
    <row r="25" customFormat="false" ht="19.5" hidden="false" customHeight="true" outlineLevel="0" collapsed="false">
      <c r="A25" s="27"/>
      <c r="B25" s="28"/>
      <c r="C25" s="31"/>
      <c r="D25" s="31"/>
      <c r="E25" s="28"/>
      <c r="F25" s="31"/>
      <c r="G25" s="28"/>
      <c r="H25" s="32"/>
      <c r="I25" s="31"/>
      <c r="J25" s="31"/>
      <c r="K25" s="31"/>
      <c r="L25" s="28"/>
      <c r="M25" s="28"/>
      <c r="N25" s="31"/>
    </row>
    <row r="26" customFormat="false" ht="19.5" hidden="false" customHeight="true" outlineLevel="0" collapsed="false">
      <c r="A26" s="27"/>
      <c r="B26" s="28"/>
      <c r="C26" s="31"/>
      <c r="D26" s="31"/>
      <c r="E26" s="28"/>
      <c r="F26" s="31"/>
      <c r="G26" s="28"/>
      <c r="H26" s="32"/>
      <c r="I26" s="31"/>
      <c r="J26" s="31"/>
      <c r="K26" s="31"/>
      <c r="L26" s="28"/>
      <c r="M26" s="28"/>
      <c r="N26" s="31"/>
    </row>
    <row r="27" customFormat="false" ht="19.5" hidden="false" customHeight="true" outlineLevel="0" collapsed="false">
      <c r="A27" s="27"/>
      <c r="B27" s="28"/>
      <c r="C27" s="31"/>
      <c r="D27" s="31"/>
      <c r="E27" s="28"/>
      <c r="F27" s="31"/>
      <c r="G27" s="28"/>
      <c r="H27" s="32"/>
      <c r="I27" s="31"/>
      <c r="J27" s="31"/>
      <c r="K27" s="31"/>
      <c r="L27" s="28"/>
      <c r="M27" s="28"/>
      <c r="N27" s="31"/>
    </row>
    <row r="28" customFormat="false" ht="19.5" hidden="false" customHeight="true" outlineLevel="0" collapsed="false">
      <c r="A28" s="27"/>
      <c r="B28" s="28"/>
      <c r="C28" s="31"/>
      <c r="D28" s="31"/>
      <c r="E28" s="28"/>
      <c r="F28" s="31"/>
      <c r="G28" s="28"/>
      <c r="H28" s="32"/>
      <c r="I28" s="31"/>
      <c r="J28" s="31"/>
      <c r="K28" s="31"/>
      <c r="L28" s="28"/>
      <c r="M28" s="28"/>
      <c r="N28" s="31"/>
    </row>
    <row r="29" customFormat="false" ht="19.5" hidden="false" customHeight="true" outlineLevel="0" collapsed="false">
      <c r="A29" s="27"/>
      <c r="B29" s="28"/>
      <c r="C29" s="31"/>
      <c r="D29" s="31"/>
      <c r="E29" s="28"/>
      <c r="F29" s="31"/>
      <c r="G29" s="28"/>
      <c r="H29" s="32"/>
      <c r="I29" s="31"/>
      <c r="J29" s="31"/>
      <c r="K29" s="31"/>
      <c r="L29" s="28"/>
      <c r="M29" s="28"/>
      <c r="N29" s="31"/>
    </row>
    <row r="30" customFormat="false" ht="19.5" hidden="false" customHeight="true" outlineLevel="0" collapsed="false">
      <c r="A30" s="27"/>
      <c r="B30" s="28"/>
      <c r="C30" s="31"/>
      <c r="D30" s="31"/>
      <c r="E30" s="28"/>
      <c r="F30" s="31"/>
      <c r="G30" s="28"/>
      <c r="H30" s="32"/>
      <c r="I30" s="31"/>
      <c r="J30" s="31"/>
      <c r="K30" s="31"/>
      <c r="L30" s="28"/>
      <c r="M30" s="28"/>
      <c r="N30" s="31"/>
    </row>
    <row r="31" customFormat="false" ht="19.5" hidden="false" customHeight="true" outlineLevel="0" collapsed="false">
      <c r="A31" s="27"/>
      <c r="B31" s="28"/>
      <c r="C31" s="31"/>
      <c r="D31" s="31"/>
      <c r="E31" s="28"/>
      <c r="F31" s="31"/>
      <c r="G31" s="28"/>
      <c r="H31" s="32"/>
      <c r="I31" s="31"/>
      <c r="J31" s="31"/>
      <c r="K31" s="31"/>
      <c r="L31" s="28"/>
      <c r="M31" s="28"/>
      <c r="N31" s="31"/>
    </row>
    <row r="32" customFormat="false" ht="19.5" hidden="false" customHeight="true" outlineLevel="0" collapsed="false">
      <c r="A32" s="27"/>
      <c r="B32" s="28"/>
      <c r="C32" s="31"/>
      <c r="D32" s="31"/>
      <c r="E32" s="28"/>
      <c r="F32" s="31"/>
      <c r="G32" s="28"/>
      <c r="H32" s="32"/>
      <c r="I32" s="31"/>
      <c r="J32" s="31"/>
      <c r="K32" s="31"/>
      <c r="L32" s="28"/>
      <c r="M32" s="28"/>
      <c r="N32" s="31"/>
    </row>
    <row r="33" customFormat="false" ht="19.5" hidden="false" customHeight="true" outlineLevel="0" collapsed="false">
      <c r="A33" s="27"/>
      <c r="B33" s="28"/>
      <c r="C33" s="31"/>
      <c r="D33" s="31"/>
      <c r="E33" s="28"/>
      <c r="F33" s="31"/>
      <c r="G33" s="28"/>
      <c r="H33" s="32"/>
      <c r="I33" s="31"/>
      <c r="J33" s="31"/>
      <c r="K33" s="31"/>
      <c r="L33" s="28"/>
      <c r="M33" s="28"/>
      <c r="N33" s="31"/>
    </row>
    <row r="34" customFormat="false" ht="19.5" hidden="false" customHeight="true" outlineLevel="0" collapsed="false">
      <c r="A34" s="27"/>
      <c r="B34" s="28"/>
      <c r="C34" s="31"/>
      <c r="D34" s="31"/>
      <c r="E34" s="28"/>
      <c r="F34" s="31"/>
      <c r="G34" s="28"/>
      <c r="H34" s="32"/>
      <c r="I34" s="31"/>
      <c r="J34" s="31"/>
      <c r="K34" s="31"/>
      <c r="L34" s="28"/>
      <c r="M34" s="28"/>
      <c r="N34" s="31"/>
    </row>
    <row r="35" customFormat="false" ht="19.5" hidden="false" customHeight="true" outlineLevel="0" collapsed="false">
      <c r="A35" s="27"/>
      <c r="B35" s="28"/>
      <c r="C35" s="31"/>
      <c r="D35" s="31"/>
      <c r="E35" s="28"/>
      <c r="F35" s="31"/>
      <c r="G35" s="28"/>
      <c r="H35" s="32"/>
      <c r="I35" s="31"/>
      <c r="J35" s="31"/>
      <c r="K35" s="31"/>
      <c r="L35" s="28"/>
      <c r="M35" s="28"/>
      <c r="N35" s="31"/>
    </row>
    <row r="36" customFormat="false" ht="19.5" hidden="false" customHeight="true" outlineLevel="0" collapsed="false">
      <c r="A36" s="27"/>
      <c r="B36" s="28"/>
      <c r="C36" s="31"/>
      <c r="D36" s="31"/>
      <c r="E36" s="28"/>
      <c r="F36" s="31"/>
      <c r="G36" s="28"/>
      <c r="H36" s="32"/>
      <c r="I36" s="31"/>
      <c r="J36" s="31"/>
      <c r="K36" s="31"/>
      <c r="L36" s="28"/>
      <c r="M36" s="28"/>
      <c r="N36" s="31"/>
    </row>
    <row r="37" customFormat="false" ht="19.5" hidden="false" customHeight="true" outlineLevel="0" collapsed="false">
      <c r="A37" s="27"/>
      <c r="B37" s="28"/>
      <c r="C37" s="31"/>
      <c r="D37" s="31"/>
      <c r="E37" s="28"/>
      <c r="F37" s="31"/>
      <c r="G37" s="28"/>
      <c r="H37" s="32"/>
      <c r="I37" s="31"/>
      <c r="J37" s="31"/>
      <c r="K37" s="31"/>
      <c r="L37" s="28"/>
      <c r="M37" s="28"/>
      <c r="N37" s="31"/>
    </row>
    <row r="38" customFormat="false" ht="19.5" hidden="false" customHeight="true" outlineLevel="0" collapsed="false">
      <c r="A38" s="27"/>
      <c r="B38" s="28"/>
      <c r="C38" s="31"/>
      <c r="D38" s="31"/>
      <c r="E38" s="28"/>
      <c r="F38" s="31"/>
      <c r="G38" s="28"/>
      <c r="H38" s="32"/>
      <c r="I38" s="31"/>
      <c r="J38" s="31"/>
      <c r="K38" s="31"/>
      <c r="L38" s="28"/>
      <c r="M38" s="28"/>
      <c r="N38" s="31"/>
    </row>
    <row r="39" customFormat="false" ht="19.5" hidden="false" customHeight="true" outlineLevel="0" collapsed="false">
      <c r="A39" s="27"/>
      <c r="B39" s="28"/>
      <c r="C39" s="31"/>
      <c r="D39" s="31"/>
      <c r="E39" s="28"/>
      <c r="F39" s="31"/>
      <c r="G39" s="28"/>
      <c r="H39" s="32"/>
      <c r="I39" s="31"/>
      <c r="J39" s="31"/>
      <c r="K39" s="31"/>
      <c r="L39" s="28"/>
      <c r="M39" s="28"/>
      <c r="N39" s="31"/>
    </row>
    <row r="40" customFormat="false" ht="19.5" hidden="false" customHeight="true" outlineLevel="0" collapsed="false">
      <c r="A40" s="27"/>
      <c r="B40" s="28"/>
      <c r="C40" s="31"/>
      <c r="D40" s="31"/>
      <c r="E40" s="28"/>
      <c r="F40" s="31"/>
      <c r="G40" s="28"/>
      <c r="H40" s="32"/>
      <c r="I40" s="31"/>
      <c r="J40" s="31"/>
      <c r="K40" s="31"/>
      <c r="L40" s="28"/>
      <c r="M40" s="28"/>
      <c r="N40" s="31"/>
    </row>
    <row r="41" customFormat="false" ht="19.5" hidden="false" customHeight="true" outlineLevel="0" collapsed="false">
      <c r="A41" s="27"/>
      <c r="B41" s="28"/>
      <c r="C41" s="31"/>
      <c r="D41" s="31"/>
      <c r="E41" s="28"/>
      <c r="F41" s="31"/>
      <c r="G41" s="28"/>
      <c r="H41" s="32"/>
      <c r="I41" s="31"/>
      <c r="J41" s="31"/>
      <c r="K41" s="31"/>
      <c r="L41" s="28"/>
      <c r="M41" s="28"/>
      <c r="N41" s="31"/>
    </row>
    <row r="42" customFormat="false" ht="19.5" hidden="false" customHeight="true" outlineLevel="0" collapsed="false">
      <c r="A42" s="27"/>
      <c r="B42" s="28"/>
      <c r="C42" s="31"/>
      <c r="D42" s="31"/>
      <c r="E42" s="28"/>
      <c r="F42" s="31"/>
      <c r="G42" s="28"/>
      <c r="H42" s="32"/>
      <c r="I42" s="31"/>
      <c r="J42" s="31"/>
      <c r="K42" s="31"/>
      <c r="L42" s="28"/>
      <c r="M42" s="28"/>
      <c r="N42" s="31"/>
    </row>
    <row r="43" customFormat="false" ht="19.5" hidden="false" customHeight="true" outlineLevel="0" collapsed="false">
      <c r="A43" s="27"/>
      <c r="B43" s="28"/>
      <c r="C43" s="31"/>
      <c r="D43" s="31"/>
      <c r="E43" s="28"/>
      <c r="F43" s="31"/>
      <c r="G43" s="28"/>
      <c r="H43" s="32"/>
      <c r="I43" s="31"/>
      <c r="J43" s="31"/>
      <c r="K43" s="31"/>
      <c r="L43" s="28"/>
      <c r="M43" s="28"/>
      <c r="N43" s="31"/>
    </row>
    <row r="44" customFormat="false" ht="19.5" hidden="false" customHeight="true" outlineLevel="0" collapsed="false">
      <c r="A44" s="27"/>
      <c r="B44" s="28"/>
      <c r="C44" s="31"/>
      <c r="D44" s="31"/>
      <c r="E44" s="28"/>
      <c r="F44" s="31"/>
      <c r="G44" s="28"/>
      <c r="H44" s="32"/>
      <c r="I44" s="31"/>
      <c r="J44" s="31"/>
      <c r="K44" s="31"/>
      <c r="L44" s="28"/>
      <c r="M44" s="28"/>
      <c r="N44" s="31"/>
    </row>
    <row r="45" customFormat="false" ht="19.5" hidden="false" customHeight="true" outlineLevel="0" collapsed="false">
      <c r="A45" s="27"/>
      <c r="B45" s="28"/>
      <c r="C45" s="31"/>
      <c r="D45" s="31"/>
      <c r="E45" s="28"/>
      <c r="F45" s="31"/>
      <c r="G45" s="28"/>
      <c r="H45" s="32"/>
      <c r="I45" s="31"/>
      <c r="J45" s="31"/>
      <c r="K45" s="31"/>
      <c r="L45" s="28"/>
      <c r="M45" s="28"/>
      <c r="N45" s="31"/>
    </row>
    <row r="46" customFormat="false" ht="19.5" hidden="false" customHeight="true" outlineLevel="0" collapsed="false">
      <c r="A46" s="27"/>
      <c r="B46" s="28"/>
      <c r="C46" s="31"/>
      <c r="D46" s="31"/>
      <c r="E46" s="28"/>
      <c r="F46" s="31"/>
      <c r="G46" s="28"/>
      <c r="H46" s="32"/>
      <c r="I46" s="31"/>
      <c r="J46" s="31"/>
      <c r="K46" s="31"/>
      <c r="L46" s="28"/>
      <c r="M46" s="28"/>
      <c r="N46" s="31"/>
    </row>
    <row r="47" customFormat="false" ht="19.5" hidden="false" customHeight="true" outlineLevel="0" collapsed="false">
      <c r="A47" s="27"/>
      <c r="B47" s="28"/>
      <c r="C47" s="31"/>
      <c r="D47" s="31"/>
      <c r="E47" s="28"/>
      <c r="F47" s="31"/>
      <c r="G47" s="28"/>
      <c r="H47" s="32"/>
      <c r="I47" s="31"/>
      <c r="J47" s="31"/>
      <c r="K47" s="31"/>
      <c r="L47" s="28"/>
      <c r="M47" s="28"/>
      <c r="N47" s="31"/>
    </row>
    <row r="48" customFormat="false" ht="19.5" hidden="false" customHeight="true" outlineLevel="0" collapsed="false">
      <c r="A48" s="27"/>
      <c r="B48" s="28"/>
      <c r="C48" s="31"/>
      <c r="D48" s="31"/>
      <c r="E48" s="28"/>
      <c r="F48" s="31"/>
      <c r="G48" s="28"/>
      <c r="H48" s="32"/>
      <c r="I48" s="31"/>
      <c r="J48" s="31"/>
      <c r="K48" s="31"/>
      <c r="L48" s="28"/>
      <c r="M48" s="28"/>
      <c r="N48" s="31"/>
    </row>
    <row r="49" customFormat="false" ht="19.5" hidden="false" customHeight="true" outlineLevel="0" collapsed="false">
      <c r="A49" s="27"/>
      <c r="B49" s="28"/>
      <c r="C49" s="31"/>
      <c r="D49" s="31"/>
      <c r="E49" s="28"/>
      <c r="F49" s="31"/>
      <c r="G49" s="28"/>
      <c r="H49" s="32"/>
      <c r="I49" s="31"/>
      <c r="J49" s="31"/>
      <c r="K49" s="31"/>
      <c r="L49" s="28"/>
      <c r="M49" s="28"/>
      <c r="N49" s="31"/>
    </row>
    <row r="50" customFormat="false" ht="19.5" hidden="false" customHeight="true" outlineLevel="0" collapsed="false">
      <c r="A50" s="27"/>
      <c r="B50" s="28"/>
      <c r="C50" s="31"/>
      <c r="D50" s="31"/>
      <c r="E50" s="28"/>
      <c r="F50" s="31"/>
      <c r="G50" s="28"/>
      <c r="H50" s="32"/>
      <c r="I50" s="31"/>
      <c r="J50" s="31"/>
      <c r="K50" s="31"/>
      <c r="L50" s="28"/>
      <c r="M50" s="28"/>
      <c r="N50" s="31"/>
    </row>
    <row r="51" customFormat="false" ht="19.5" hidden="false" customHeight="true" outlineLevel="0" collapsed="false">
      <c r="A51" s="27"/>
      <c r="B51" s="28"/>
      <c r="C51" s="31"/>
      <c r="D51" s="31"/>
      <c r="E51" s="28"/>
      <c r="F51" s="31"/>
      <c r="G51" s="28"/>
      <c r="H51" s="32"/>
      <c r="I51" s="31"/>
      <c r="J51" s="31"/>
      <c r="K51" s="31"/>
      <c r="L51" s="28"/>
      <c r="M51" s="28"/>
      <c r="N51" s="31"/>
    </row>
    <row r="52" customFormat="false" ht="19.5" hidden="false" customHeight="true" outlineLevel="0" collapsed="false">
      <c r="A52" s="27"/>
      <c r="B52" s="28"/>
      <c r="C52" s="31"/>
      <c r="D52" s="31"/>
      <c r="E52" s="28"/>
      <c r="F52" s="31"/>
      <c r="G52" s="28"/>
      <c r="H52" s="32"/>
      <c r="I52" s="31"/>
      <c r="J52" s="31"/>
      <c r="K52" s="31"/>
      <c r="L52" s="28"/>
      <c r="M52" s="28"/>
      <c r="N52" s="31"/>
    </row>
    <row r="53" customFormat="false" ht="19.5" hidden="false" customHeight="true" outlineLevel="0" collapsed="false">
      <c r="A53" s="27"/>
      <c r="B53" s="28"/>
      <c r="C53" s="31"/>
      <c r="D53" s="31"/>
      <c r="E53" s="28"/>
      <c r="F53" s="31"/>
      <c r="G53" s="28"/>
      <c r="H53" s="32"/>
      <c r="I53" s="31"/>
      <c r="J53" s="31"/>
      <c r="K53" s="31"/>
      <c r="L53" s="28"/>
      <c r="M53" s="28"/>
      <c r="N53" s="31"/>
    </row>
    <row r="54" customFormat="false" ht="19.5" hidden="false" customHeight="true" outlineLevel="0" collapsed="false">
      <c r="A54" s="27"/>
      <c r="B54" s="28"/>
      <c r="C54" s="31"/>
      <c r="D54" s="31"/>
      <c r="E54" s="28"/>
      <c r="F54" s="31"/>
      <c r="G54" s="28"/>
      <c r="H54" s="32"/>
      <c r="I54" s="31"/>
      <c r="J54" s="31"/>
      <c r="K54" s="31"/>
      <c r="L54" s="28"/>
      <c r="M54" s="28"/>
      <c r="N54" s="31"/>
    </row>
    <row r="55" customFormat="false" ht="19.5" hidden="false" customHeight="true" outlineLevel="0" collapsed="false">
      <c r="A55" s="27"/>
      <c r="B55" s="28"/>
      <c r="C55" s="31"/>
      <c r="D55" s="31"/>
      <c r="E55" s="28"/>
      <c r="F55" s="31"/>
      <c r="G55" s="28"/>
      <c r="H55" s="32"/>
      <c r="I55" s="31"/>
      <c r="J55" s="31"/>
      <c r="K55" s="31"/>
      <c r="L55" s="28"/>
      <c r="M55" s="28"/>
      <c r="N55" s="31"/>
    </row>
    <row r="56" customFormat="false" ht="19.5" hidden="false" customHeight="true" outlineLevel="0" collapsed="false">
      <c r="A56" s="27"/>
      <c r="B56" s="28"/>
      <c r="C56" s="31"/>
      <c r="D56" s="31"/>
      <c r="E56" s="28"/>
      <c r="F56" s="31"/>
      <c r="G56" s="28"/>
      <c r="H56" s="32"/>
      <c r="I56" s="31"/>
      <c r="J56" s="31"/>
      <c r="K56" s="31"/>
      <c r="L56" s="28"/>
      <c r="M56" s="28"/>
      <c r="N56" s="31"/>
    </row>
    <row r="57" customFormat="false" ht="19.5" hidden="false" customHeight="true" outlineLevel="0" collapsed="false">
      <c r="A57" s="27"/>
      <c r="B57" s="28"/>
      <c r="C57" s="31"/>
      <c r="D57" s="31"/>
      <c r="E57" s="28"/>
      <c r="F57" s="31"/>
      <c r="G57" s="28"/>
      <c r="H57" s="32"/>
      <c r="I57" s="31"/>
      <c r="J57" s="31"/>
      <c r="K57" s="31"/>
      <c r="L57" s="28"/>
      <c r="M57" s="28"/>
      <c r="N57" s="31"/>
    </row>
    <row r="58" customFormat="false" ht="19.5" hidden="false" customHeight="true" outlineLevel="0" collapsed="false">
      <c r="A58" s="27"/>
      <c r="B58" s="28"/>
      <c r="C58" s="31"/>
      <c r="D58" s="31"/>
      <c r="E58" s="28"/>
      <c r="F58" s="31"/>
      <c r="G58" s="28"/>
      <c r="H58" s="32"/>
      <c r="I58" s="31"/>
      <c r="J58" s="31"/>
      <c r="K58" s="31"/>
      <c r="L58" s="28"/>
      <c r="M58" s="28"/>
      <c r="N58" s="31"/>
    </row>
    <row r="59" customFormat="false" ht="19.5" hidden="false" customHeight="true" outlineLevel="0" collapsed="false">
      <c r="A59" s="27"/>
      <c r="B59" s="28"/>
      <c r="C59" s="31"/>
      <c r="D59" s="31"/>
      <c r="E59" s="28"/>
      <c r="F59" s="31"/>
      <c r="G59" s="28"/>
      <c r="H59" s="32"/>
      <c r="I59" s="31"/>
      <c r="J59" s="31"/>
      <c r="K59" s="31"/>
      <c r="L59" s="28"/>
      <c r="M59" s="28"/>
      <c r="N59" s="31"/>
    </row>
    <row r="60" customFormat="false" ht="19.5" hidden="false" customHeight="true" outlineLevel="0" collapsed="false">
      <c r="A60" s="27"/>
      <c r="B60" s="28"/>
      <c r="C60" s="31"/>
      <c r="D60" s="31"/>
      <c r="E60" s="28"/>
      <c r="F60" s="31"/>
      <c r="G60" s="28"/>
      <c r="H60" s="32"/>
      <c r="I60" s="31"/>
      <c r="J60" s="31"/>
      <c r="K60" s="31"/>
      <c r="L60" s="28"/>
      <c r="M60" s="28"/>
      <c r="N60" s="31"/>
    </row>
    <row r="61" customFormat="false" ht="19.5" hidden="false" customHeight="true" outlineLevel="0" collapsed="false">
      <c r="A61" s="27"/>
      <c r="B61" s="28"/>
      <c r="C61" s="31"/>
      <c r="D61" s="31"/>
      <c r="E61" s="28"/>
      <c r="F61" s="31"/>
      <c r="G61" s="28"/>
      <c r="H61" s="32"/>
      <c r="I61" s="31"/>
      <c r="J61" s="31"/>
      <c r="K61" s="31"/>
      <c r="L61" s="28"/>
      <c r="M61" s="28"/>
      <c r="N61" s="31"/>
    </row>
    <row r="62" customFormat="false" ht="19.5" hidden="false" customHeight="true" outlineLevel="0" collapsed="false">
      <c r="A62" s="27"/>
      <c r="B62" s="28"/>
      <c r="C62" s="31"/>
      <c r="D62" s="31"/>
      <c r="E62" s="28"/>
      <c r="F62" s="31"/>
      <c r="G62" s="28"/>
      <c r="H62" s="32"/>
      <c r="I62" s="31"/>
      <c r="J62" s="31"/>
      <c r="K62" s="31"/>
      <c r="L62" s="28"/>
      <c r="M62" s="28"/>
      <c r="N62" s="31"/>
    </row>
    <row r="63" customFormat="false" ht="19.5" hidden="false" customHeight="true" outlineLevel="0" collapsed="false">
      <c r="A63" s="27"/>
      <c r="B63" s="28"/>
      <c r="C63" s="31"/>
      <c r="D63" s="31"/>
      <c r="E63" s="28"/>
      <c r="F63" s="31"/>
      <c r="G63" s="28"/>
      <c r="H63" s="32"/>
      <c r="I63" s="31"/>
      <c r="J63" s="31"/>
      <c r="K63" s="31"/>
      <c r="L63" s="28"/>
      <c r="M63" s="28"/>
      <c r="N63" s="31"/>
    </row>
    <row r="64" customFormat="false" ht="19.5" hidden="false" customHeight="true" outlineLevel="0" collapsed="false">
      <c r="A64" s="27"/>
      <c r="B64" s="28"/>
      <c r="C64" s="31"/>
      <c r="D64" s="31"/>
      <c r="E64" s="28"/>
      <c r="F64" s="31"/>
      <c r="G64" s="28"/>
      <c r="H64" s="32"/>
      <c r="I64" s="31"/>
      <c r="J64" s="31"/>
      <c r="K64" s="31"/>
      <c r="L64" s="28"/>
      <c r="M64" s="28"/>
      <c r="N64" s="31"/>
    </row>
    <row r="65" customFormat="false" ht="19.5" hidden="false" customHeight="true" outlineLevel="0" collapsed="false">
      <c r="A65" s="27"/>
      <c r="B65" s="28"/>
      <c r="C65" s="31"/>
      <c r="D65" s="31"/>
      <c r="E65" s="28"/>
      <c r="F65" s="31"/>
      <c r="G65" s="28"/>
      <c r="H65" s="32"/>
      <c r="I65" s="31"/>
      <c r="J65" s="31"/>
      <c r="K65" s="31"/>
      <c r="L65" s="28"/>
      <c r="M65" s="28"/>
      <c r="N65" s="31"/>
    </row>
    <row r="66" customFormat="false" ht="19.5" hidden="false" customHeight="true" outlineLevel="0" collapsed="false">
      <c r="A66" s="27"/>
      <c r="B66" s="28"/>
      <c r="C66" s="31"/>
      <c r="D66" s="31"/>
      <c r="E66" s="28"/>
      <c r="F66" s="31"/>
      <c r="G66" s="28"/>
      <c r="H66" s="32"/>
      <c r="I66" s="31"/>
      <c r="J66" s="31"/>
      <c r="K66" s="31"/>
      <c r="L66" s="28"/>
      <c r="M66" s="28"/>
      <c r="N66" s="31"/>
    </row>
    <row r="67" customFormat="false" ht="19.5" hidden="false" customHeight="true" outlineLevel="0" collapsed="false">
      <c r="A67" s="27"/>
      <c r="B67" s="28"/>
      <c r="C67" s="31"/>
      <c r="D67" s="31"/>
      <c r="E67" s="28"/>
      <c r="F67" s="31"/>
      <c r="G67" s="28"/>
      <c r="H67" s="32"/>
      <c r="I67" s="31"/>
      <c r="J67" s="31"/>
      <c r="K67" s="31"/>
      <c r="L67" s="28"/>
      <c r="M67" s="28"/>
      <c r="N67" s="31"/>
    </row>
    <row r="68" customFormat="false" ht="19.5" hidden="false" customHeight="true" outlineLevel="0" collapsed="false">
      <c r="A68" s="27"/>
      <c r="B68" s="28"/>
      <c r="C68" s="31"/>
      <c r="D68" s="31"/>
      <c r="E68" s="28"/>
      <c r="F68" s="31"/>
      <c r="G68" s="28"/>
      <c r="H68" s="32"/>
      <c r="I68" s="31"/>
      <c r="J68" s="31"/>
      <c r="K68" s="31"/>
      <c r="L68" s="28"/>
      <c r="M68" s="28"/>
      <c r="N68" s="31"/>
    </row>
    <row r="69" customFormat="false" ht="19.5" hidden="false" customHeight="true" outlineLevel="0" collapsed="false">
      <c r="A69" s="27"/>
      <c r="B69" s="28"/>
      <c r="C69" s="31"/>
      <c r="D69" s="31"/>
      <c r="E69" s="28"/>
      <c r="F69" s="31"/>
      <c r="G69" s="28"/>
      <c r="H69" s="32"/>
      <c r="I69" s="31"/>
      <c r="J69" s="31"/>
      <c r="K69" s="31"/>
      <c r="L69" s="28"/>
      <c r="M69" s="28"/>
      <c r="N69" s="31"/>
    </row>
    <row r="70" customFormat="false" ht="19.5" hidden="false" customHeight="true" outlineLevel="0" collapsed="false">
      <c r="A70" s="27"/>
      <c r="B70" s="28"/>
      <c r="C70" s="31"/>
      <c r="D70" s="31"/>
      <c r="E70" s="28"/>
      <c r="F70" s="31"/>
      <c r="G70" s="28"/>
      <c r="H70" s="32"/>
      <c r="I70" s="31"/>
      <c r="J70" s="31"/>
      <c r="K70" s="31"/>
      <c r="L70" s="28"/>
      <c r="M70" s="28"/>
      <c r="N70" s="31"/>
    </row>
    <row r="71" customFormat="false" ht="19.5" hidden="false" customHeight="true" outlineLevel="0" collapsed="false">
      <c r="A71" s="27"/>
      <c r="B71" s="28"/>
      <c r="C71" s="31"/>
      <c r="D71" s="31"/>
      <c r="E71" s="28"/>
      <c r="F71" s="31"/>
      <c r="G71" s="28"/>
      <c r="H71" s="32"/>
      <c r="I71" s="31"/>
      <c r="J71" s="31"/>
      <c r="K71" s="31"/>
      <c r="L71" s="28"/>
      <c r="M71" s="28"/>
      <c r="N71" s="31"/>
    </row>
    <row r="72" customFormat="false" ht="19.5" hidden="false" customHeight="true" outlineLevel="0" collapsed="false">
      <c r="A72" s="27"/>
      <c r="B72" s="28"/>
      <c r="C72" s="31"/>
      <c r="D72" s="31"/>
      <c r="E72" s="28"/>
      <c r="F72" s="31"/>
      <c r="G72" s="28"/>
      <c r="H72" s="32"/>
      <c r="I72" s="31"/>
      <c r="J72" s="31"/>
      <c r="K72" s="31"/>
      <c r="L72" s="28"/>
      <c r="M72" s="28"/>
      <c r="N72" s="31"/>
    </row>
    <row r="73" customFormat="false" ht="19.5" hidden="false" customHeight="true" outlineLevel="0" collapsed="false">
      <c r="A73" s="27"/>
      <c r="B73" s="28"/>
      <c r="C73" s="31"/>
      <c r="D73" s="31"/>
      <c r="E73" s="28"/>
      <c r="F73" s="31"/>
      <c r="G73" s="28"/>
      <c r="H73" s="32"/>
      <c r="I73" s="31"/>
      <c r="J73" s="31"/>
      <c r="K73" s="31"/>
      <c r="L73" s="28"/>
      <c r="M73" s="28"/>
      <c r="N73" s="31"/>
    </row>
    <row r="74" customFormat="false" ht="19.5" hidden="false" customHeight="true" outlineLevel="0" collapsed="false">
      <c r="A74" s="27"/>
      <c r="B74" s="28"/>
      <c r="C74" s="31"/>
      <c r="D74" s="31"/>
      <c r="E74" s="28"/>
      <c r="F74" s="31"/>
      <c r="G74" s="28"/>
      <c r="H74" s="32"/>
      <c r="I74" s="31"/>
      <c r="J74" s="31"/>
      <c r="K74" s="31"/>
      <c r="L74" s="28"/>
      <c r="M74" s="28"/>
      <c r="N74" s="31"/>
    </row>
    <row r="75" customFormat="false" ht="19.5" hidden="false" customHeight="true" outlineLevel="0" collapsed="false">
      <c r="A75" s="27"/>
      <c r="B75" s="28"/>
      <c r="C75" s="31"/>
      <c r="D75" s="31"/>
      <c r="E75" s="28"/>
      <c r="F75" s="31"/>
      <c r="G75" s="28"/>
      <c r="H75" s="32"/>
      <c r="I75" s="31"/>
      <c r="J75" s="31"/>
      <c r="K75" s="31"/>
      <c r="L75" s="28"/>
      <c r="M75" s="28"/>
      <c r="N75" s="31"/>
    </row>
    <row r="76" customFormat="false" ht="19.5" hidden="false" customHeight="true" outlineLevel="0" collapsed="false">
      <c r="A76" s="27"/>
      <c r="B76" s="28"/>
      <c r="C76" s="31"/>
      <c r="D76" s="31"/>
      <c r="E76" s="28"/>
      <c r="F76" s="31"/>
      <c r="G76" s="28"/>
      <c r="H76" s="32"/>
      <c r="I76" s="31"/>
      <c r="J76" s="31"/>
      <c r="K76" s="31"/>
      <c r="L76" s="28"/>
      <c r="M76" s="28"/>
      <c r="N76" s="31"/>
    </row>
    <row r="77" customFormat="false" ht="19.5" hidden="false" customHeight="true" outlineLevel="0" collapsed="false">
      <c r="A77" s="27"/>
      <c r="B77" s="28"/>
      <c r="C77" s="31"/>
      <c r="D77" s="31"/>
      <c r="E77" s="28"/>
      <c r="F77" s="31"/>
      <c r="G77" s="28"/>
      <c r="H77" s="32"/>
      <c r="I77" s="31"/>
      <c r="J77" s="31"/>
      <c r="K77" s="31"/>
      <c r="L77" s="28"/>
      <c r="M77" s="28"/>
      <c r="N77" s="31"/>
    </row>
    <row r="78" customFormat="false" ht="19.5" hidden="false" customHeight="true" outlineLevel="0" collapsed="false">
      <c r="A78" s="27"/>
      <c r="B78" s="28"/>
      <c r="C78" s="31"/>
      <c r="D78" s="31"/>
      <c r="E78" s="28"/>
      <c r="F78" s="31"/>
      <c r="G78" s="28"/>
      <c r="H78" s="32"/>
      <c r="I78" s="31"/>
      <c r="J78" s="31"/>
      <c r="K78" s="31"/>
      <c r="L78" s="28"/>
      <c r="M78" s="28"/>
      <c r="N78" s="31"/>
    </row>
    <row r="79" customFormat="false" ht="19.5" hidden="false" customHeight="true" outlineLevel="0" collapsed="false">
      <c r="A79" s="27"/>
      <c r="B79" s="28"/>
      <c r="C79" s="31"/>
      <c r="D79" s="31"/>
      <c r="E79" s="28"/>
      <c r="F79" s="31"/>
      <c r="G79" s="28"/>
      <c r="H79" s="32"/>
      <c r="I79" s="31"/>
      <c r="J79" s="31"/>
      <c r="K79" s="31"/>
      <c r="L79" s="28"/>
      <c r="M79" s="28"/>
      <c r="N79" s="31"/>
    </row>
    <row r="80" customFormat="false" ht="19.5" hidden="false" customHeight="true" outlineLevel="0" collapsed="false">
      <c r="A80" s="27"/>
      <c r="B80" s="28"/>
      <c r="C80" s="31"/>
      <c r="D80" s="31"/>
      <c r="E80" s="28"/>
      <c r="F80" s="31"/>
      <c r="G80" s="28"/>
      <c r="H80" s="32"/>
      <c r="I80" s="31"/>
      <c r="J80" s="31"/>
      <c r="K80" s="31"/>
      <c r="L80" s="28"/>
      <c r="M80" s="28"/>
      <c r="N80" s="31"/>
    </row>
    <row r="81" customFormat="false" ht="19.5" hidden="false" customHeight="true" outlineLevel="0" collapsed="false">
      <c r="A81" s="27"/>
      <c r="B81" s="28"/>
      <c r="C81" s="31"/>
      <c r="D81" s="31"/>
      <c r="E81" s="28"/>
      <c r="F81" s="31"/>
      <c r="G81" s="28"/>
      <c r="H81" s="32"/>
      <c r="I81" s="31"/>
      <c r="J81" s="31"/>
      <c r="K81" s="31"/>
      <c r="L81" s="28"/>
      <c r="M81" s="28"/>
      <c r="N81" s="31"/>
    </row>
    <row r="82" customFormat="false" ht="19.5" hidden="false" customHeight="true" outlineLevel="0" collapsed="false">
      <c r="A82" s="27"/>
      <c r="B82" s="28"/>
      <c r="C82" s="31"/>
      <c r="D82" s="31"/>
      <c r="E82" s="28"/>
      <c r="F82" s="31"/>
      <c r="G82" s="28"/>
      <c r="H82" s="32"/>
      <c r="I82" s="31"/>
      <c r="J82" s="31"/>
      <c r="K82" s="31"/>
      <c r="L82" s="28"/>
      <c r="M82" s="28"/>
      <c r="N82" s="31"/>
    </row>
    <row r="83" customFormat="false" ht="19.5" hidden="false" customHeight="true" outlineLevel="0" collapsed="false">
      <c r="A83" s="27"/>
      <c r="B83" s="28"/>
      <c r="C83" s="31"/>
      <c r="D83" s="31"/>
      <c r="E83" s="28"/>
      <c r="F83" s="31"/>
      <c r="G83" s="28"/>
      <c r="H83" s="32"/>
      <c r="I83" s="31"/>
      <c r="J83" s="31"/>
      <c r="K83" s="31"/>
      <c r="L83" s="28"/>
      <c r="M83" s="28"/>
      <c r="N83" s="31"/>
    </row>
    <row r="84" customFormat="false" ht="19.5" hidden="false" customHeight="true" outlineLevel="0" collapsed="false">
      <c r="A84" s="27"/>
      <c r="B84" s="28"/>
      <c r="C84" s="31"/>
      <c r="D84" s="31"/>
      <c r="E84" s="28"/>
      <c r="F84" s="31"/>
      <c r="G84" s="28"/>
      <c r="H84" s="32"/>
      <c r="I84" s="31"/>
      <c r="J84" s="31"/>
      <c r="K84" s="31"/>
      <c r="L84" s="28"/>
      <c r="M84" s="28"/>
      <c r="N84" s="31"/>
    </row>
    <row r="85" customFormat="false" ht="19.5" hidden="false" customHeight="true" outlineLevel="0" collapsed="false">
      <c r="A85" s="27"/>
      <c r="B85" s="28"/>
      <c r="C85" s="31"/>
      <c r="D85" s="31"/>
      <c r="E85" s="28"/>
      <c r="F85" s="31"/>
      <c r="G85" s="28"/>
      <c r="H85" s="32"/>
      <c r="I85" s="31"/>
      <c r="J85" s="31"/>
      <c r="K85" s="31"/>
      <c r="L85" s="28"/>
      <c r="M85" s="28"/>
      <c r="N85" s="31"/>
    </row>
    <row r="86" customFormat="false" ht="19.5" hidden="false" customHeight="true" outlineLevel="0" collapsed="false">
      <c r="A86" s="27"/>
      <c r="B86" s="28"/>
      <c r="C86" s="31"/>
      <c r="D86" s="31"/>
      <c r="E86" s="28"/>
      <c r="F86" s="31"/>
      <c r="G86" s="28"/>
      <c r="H86" s="32"/>
      <c r="I86" s="31"/>
      <c r="J86" s="31"/>
      <c r="K86" s="31"/>
      <c r="L86" s="28"/>
      <c r="M86" s="28"/>
      <c r="N86" s="31"/>
    </row>
    <row r="87" customFormat="false" ht="19.5" hidden="false" customHeight="true" outlineLevel="0" collapsed="false">
      <c r="A87" s="27"/>
      <c r="B87" s="28"/>
      <c r="C87" s="31"/>
      <c r="D87" s="31"/>
      <c r="E87" s="28"/>
      <c r="F87" s="31"/>
      <c r="G87" s="28"/>
      <c r="H87" s="32"/>
      <c r="I87" s="31"/>
      <c r="J87" s="31"/>
      <c r="K87" s="31"/>
      <c r="L87" s="28"/>
      <c r="M87" s="28"/>
      <c r="N87" s="31"/>
    </row>
    <row r="88" customFormat="false" ht="19.5" hidden="false" customHeight="true" outlineLevel="0" collapsed="false">
      <c r="A88" s="27"/>
      <c r="B88" s="28"/>
      <c r="C88" s="31"/>
      <c r="D88" s="31"/>
      <c r="E88" s="28"/>
      <c r="F88" s="31"/>
      <c r="G88" s="28"/>
      <c r="H88" s="32"/>
      <c r="I88" s="31"/>
      <c r="J88" s="31"/>
      <c r="K88" s="31"/>
      <c r="L88" s="28"/>
      <c r="M88" s="28"/>
      <c r="N88" s="31"/>
    </row>
    <row r="89" customFormat="false" ht="19.5" hidden="false" customHeight="true" outlineLevel="0" collapsed="false">
      <c r="A89" s="27"/>
      <c r="B89" s="28"/>
      <c r="C89" s="31"/>
      <c r="D89" s="31"/>
      <c r="E89" s="28"/>
      <c r="F89" s="31"/>
      <c r="G89" s="28"/>
      <c r="H89" s="32"/>
      <c r="I89" s="31"/>
      <c r="J89" s="31"/>
      <c r="K89" s="31"/>
      <c r="L89" s="28"/>
      <c r="M89" s="28"/>
      <c r="N89" s="31"/>
    </row>
    <row r="90" customFormat="false" ht="19.5" hidden="false" customHeight="true" outlineLevel="0" collapsed="false">
      <c r="A90" s="27"/>
      <c r="B90" s="28"/>
      <c r="C90" s="31"/>
      <c r="D90" s="31"/>
      <c r="E90" s="28"/>
      <c r="F90" s="31"/>
      <c r="G90" s="28"/>
      <c r="H90" s="32"/>
      <c r="I90" s="31"/>
      <c r="J90" s="31"/>
      <c r="K90" s="31"/>
      <c r="L90" s="28"/>
      <c r="M90" s="28"/>
      <c r="N90" s="31"/>
    </row>
    <row r="91" customFormat="false" ht="19.5" hidden="false" customHeight="true" outlineLevel="0" collapsed="false">
      <c r="A91" s="27"/>
      <c r="B91" s="28"/>
      <c r="C91" s="31"/>
      <c r="D91" s="31"/>
      <c r="E91" s="28"/>
      <c r="F91" s="31"/>
      <c r="G91" s="28"/>
      <c r="H91" s="32"/>
      <c r="I91" s="31"/>
      <c r="J91" s="31"/>
      <c r="K91" s="31"/>
      <c r="L91" s="28"/>
      <c r="M91" s="28"/>
      <c r="N91" s="31"/>
    </row>
    <row r="92" customFormat="false" ht="19.5" hidden="false" customHeight="true" outlineLevel="0" collapsed="false">
      <c r="A92" s="27"/>
      <c r="B92" s="28"/>
      <c r="C92" s="31"/>
      <c r="D92" s="31"/>
      <c r="E92" s="28"/>
      <c r="F92" s="31"/>
      <c r="G92" s="28"/>
      <c r="H92" s="32"/>
      <c r="I92" s="31"/>
      <c r="J92" s="31"/>
      <c r="K92" s="31"/>
      <c r="L92" s="28"/>
      <c r="M92" s="28"/>
      <c r="N92" s="31"/>
    </row>
    <row r="93" customFormat="false" ht="19.5" hidden="false" customHeight="true" outlineLevel="0" collapsed="false">
      <c r="A93" s="27"/>
      <c r="B93" s="28"/>
      <c r="C93" s="31"/>
      <c r="D93" s="31"/>
      <c r="E93" s="28"/>
      <c r="F93" s="31"/>
      <c r="G93" s="28"/>
      <c r="H93" s="32"/>
      <c r="I93" s="31"/>
      <c r="J93" s="31"/>
      <c r="K93" s="31"/>
      <c r="L93" s="28"/>
      <c r="M93" s="28"/>
      <c r="N93" s="31"/>
    </row>
    <row r="94" customFormat="false" ht="19.5" hidden="false" customHeight="true" outlineLevel="0" collapsed="false">
      <c r="A94" s="27"/>
      <c r="B94" s="28"/>
      <c r="C94" s="31"/>
      <c r="D94" s="31"/>
      <c r="E94" s="28"/>
      <c r="F94" s="31"/>
      <c r="G94" s="28"/>
      <c r="H94" s="32"/>
      <c r="I94" s="31"/>
      <c r="J94" s="31"/>
      <c r="K94" s="31"/>
      <c r="L94" s="28"/>
      <c r="M94" s="28"/>
      <c r="N94" s="31"/>
    </row>
    <row r="95" customFormat="false" ht="19.5" hidden="false" customHeight="true" outlineLevel="0" collapsed="false">
      <c r="A95" s="27"/>
      <c r="B95" s="28"/>
      <c r="C95" s="31"/>
      <c r="D95" s="31"/>
      <c r="E95" s="28"/>
      <c r="F95" s="31"/>
      <c r="G95" s="28"/>
      <c r="H95" s="32"/>
      <c r="I95" s="31"/>
      <c r="J95" s="31"/>
      <c r="K95" s="31"/>
      <c r="L95" s="28"/>
      <c r="M95" s="28"/>
      <c r="N95" s="31"/>
    </row>
    <row r="96" customFormat="false" ht="19.5" hidden="false" customHeight="true" outlineLevel="0" collapsed="false">
      <c r="A96" s="27"/>
      <c r="B96" s="28"/>
      <c r="C96" s="31"/>
      <c r="D96" s="31"/>
      <c r="E96" s="28"/>
      <c r="F96" s="31"/>
      <c r="G96" s="28"/>
      <c r="H96" s="32"/>
      <c r="I96" s="31"/>
      <c r="J96" s="31"/>
      <c r="K96" s="31"/>
      <c r="L96" s="28"/>
      <c r="M96" s="28"/>
      <c r="N96" s="31"/>
    </row>
    <row r="97" customFormat="false" ht="19.5" hidden="false" customHeight="true" outlineLevel="0" collapsed="false">
      <c r="A97" s="27"/>
      <c r="B97" s="28"/>
      <c r="C97" s="31"/>
      <c r="D97" s="31"/>
      <c r="E97" s="28"/>
      <c r="F97" s="31"/>
      <c r="G97" s="28"/>
      <c r="H97" s="32"/>
      <c r="I97" s="31"/>
      <c r="J97" s="31"/>
      <c r="K97" s="31"/>
      <c r="L97" s="28"/>
      <c r="M97" s="28"/>
      <c r="N97" s="31"/>
    </row>
    <row r="98" customFormat="false" ht="19.5" hidden="false" customHeight="true" outlineLevel="0" collapsed="false">
      <c r="A98" s="27"/>
      <c r="B98" s="28"/>
      <c r="C98" s="31"/>
      <c r="D98" s="31"/>
      <c r="E98" s="28"/>
      <c r="F98" s="31"/>
      <c r="G98" s="28"/>
      <c r="H98" s="32"/>
      <c r="I98" s="31"/>
      <c r="J98" s="31"/>
      <c r="K98" s="31"/>
      <c r="L98" s="28"/>
      <c r="M98" s="28"/>
      <c r="N98" s="31"/>
    </row>
    <row r="99" customFormat="false" ht="19.5" hidden="false" customHeight="true" outlineLevel="0" collapsed="false">
      <c r="A99" s="27"/>
      <c r="B99" s="28"/>
      <c r="C99" s="31"/>
      <c r="D99" s="31"/>
      <c r="E99" s="28"/>
      <c r="F99" s="31"/>
      <c r="G99" s="28"/>
      <c r="H99" s="32"/>
      <c r="I99" s="31"/>
      <c r="J99" s="31"/>
      <c r="K99" s="31"/>
      <c r="L99" s="28"/>
      <c r="M99" s="28"/>
      <c r="N99" s="31"/>
    </row>
    <row r="100" customFormat="false" ht="19.5" hidden="false" customHeight="true" outlineLevel="0" collapsed="false">
      <c r="A100" s="27"/>
      <c r="B100" s="28"/>
      <c r="C100" s="31"/>
      <c r="D100" s="31"/>
      <c r="E100" s="28"/>
      <c r="F100" s="31"/>
      <c r="G100" s="28"/>
      <c r="H100" s="32"/>
      <c r="I100" s="31"/>
      <c r="J100" s="31"/>
      <c r="K100" s="31"/>
      <c r="L100" s="28"/>
      <c r="M100" s="28"/>
      <c r="N100" s="31"/>
    </row>
    <row r="101" customFormat="false" ht="19.5" hidden="false" customHeight="true" outlineLevel="0" collapsed="false">
      <c r="A101" s="27"/>
      <c r="B101" s="28"/>
      <c r="C101" s="31"/>
      <c r="D101" s="31"/>
      <c r="E101" s="28"/>
      <c r="F101" s="31"/>
      <c r="G101" s="28"/>
      <c r="H101" s="32"/>
      <c r="I101" s="31"/>
      <c r="J101" s="31"/>
      <c r="K101" s="31"/>
      <c r="L101" s="28"/>
      <c r="M101" s="28"/>
      <c r="N101" s="31"/>
    </row>
    <row r="102" customFormat="false" ht="19.5" hidden="false" customHeight="true" outlineLevel="0" collapsed="false">
      <c r="A102" s="27"/>
      <c r="B102" s="28"/>
      <c r="C102" s="31"/>
      <c r="D102" s="31"/>
      <c r="E102" s="28"/>
      <c r="F102" s="31"/>
      <c r="G102" s="28"/>
      <c r="H102" s="32"/>
      <c r="I102" s="31"/>
      <c r="J102" s="31"/>
      <c r="K102" s="31"/>
      <c r="L102" s="28"/>
      <c r="M102" s="28"/>
      <c r="N102" s="31"/>
    </row>
    <row r="103" customFormat="false" ht="19.5" hidden="false" customHeight="true" outlineLevel="0" collapsed="false">
      <c r="A103" s="27"/>
      <c r="B103" s="28"/>
      <c r="C103" s="31"/>
      <c r="D103" s="31"/>
      <c r="E103" s="28"/>
      <c r="F103" s="31"/>
      <c r="G103" s="28"/>
      <c r="H103" s="32"/>
      <c r="I103" s="31"/>
      <c r="J103" s="31"/>
      <c r="K103" s="31"/>
      <c r="L103" s="28"/>
      <c r="M103" s="28"/>
      <c r="N103" s="31"/>
    </row>
    <row r="104" customFormat="false" ht="19.5" hidden="false" customHeight="true" outlineLevel="0" collapsed="false">
      <c r="A104" s="27"/>
      <c r="B104" s="28"/>
      <c r="C104" s="31"/>
      <c r="D104" s="31"/>
      <c r="E104" s="28"/>
      <c r="F104" s="31"/>
      <c r="G104" s="28"/>
      <c r="H104" s="32"/>
      <c r="I104" s="31"/>
      <c r="J104" s="31"/>
      <c r="K104" s="31"/>
      <c r="L104" s="28"/>
      <c r="M104" s="28"/>
      <c r="N104" s="31"/>
    </row>
    <row r="105" customFormat="false" ht="19.5" hidden="false" customHeight="true" outlineLevel="0" collapsed="false">
      <c r="A105" s="27"/>
      <c r="B105" s="28"/>
      <c r="C105" s="31"/>
      <c r="D105" s="31"/>
      <c r="E105" s="28"/>
      <c r="F105" s="31"/>
      <c r="G105" s="28"/>
      <c r="H105" s="32"/>
      <c r="I105" s="31"/>
      <c r="J105" s="31"/>
      <c r="K105" s="31"/>
      <c r="L105" s="28"/>
      <c r="M105" s="28"/>
      <c r="N105" s="31"/>
    </row>
    <row r="106" customFormat="false" ht="19.5" hidden="false" customHeight="true" outlineLevel="0" collapsed="false">
      <c r="A106" s="27"/>
      <c r="B106" s="28"/>
      <c r="C106" s="31"/>
      <c r="D106" s="31"/>
      <c r="E106" s="28"/>
      <c r="F106" s="31"/>
      <c r="G106" s="28"/>
      <c r="H106" s="32"/>
      <c r="I106" s="31"/>
      <c r="J106" s="31"/>
      <c r="K106" s="31"/>
      <c r="L106" s="28"/>
      <c r="M106" s="28"/>
      <c r="N106" s="31"/>
    </row>
    <row r="107" customFormat="false" ht="19.5" hidden="false" customHeight="true" outlineLevel="0" collapsed="false">
      <c r="A107" s="27"/>
      <c r="B107" s="28"/>
      <c r="C107" s="31"/>
      <c r="D107" s="31"/>
      <c r="E107" s="28"/>
      <c r="F107" s="31"/>
      <c r="G107" s="28"/>
      <c r="H107" s="32"/>
      <c r="I107" s="31"/>
      <c r="J107" s="31"/>
      <c r="K107" s="31"/>
      <c r="L107" s="28"/>
      <c r="M107" s="28"/>
      <c r="N107" s="31"/>
    </row>
    <row r="108" customFormat="false" ht="19.5" hidden="false" customHeight="true" outlineLevel="0" collapsed="false">
      <c r="A108" s="27"/>
      <c r="B108" s="28"/>
      <c r="C108" s="31"/>
      <c r="D108" s="31"/>
      <c r="E108" s="28"/>
      <c r="F108" s="31"/>
      <c r="G108" s="28"/>
      <c r="H108" s="32"/>
      <c r="I108" s="31"/>
      <c r="J108" s="31"/>
      <c r="K108" s="31"/>
      <c r="L108" s="28"/>
      <c r="M108" s="28"/>
      <c r="N108" s="31"/>
    </row>
    <row r="109" customFormat="false" ht="19.5" hidden="false" customHeight="true" outlineLevel="0" collapsed="false">
      <c r="A109" s="27"/>
      <c r="B109" s="28"/>
      <c r="C109" s="31"/>
      <c r="D109" s="31"/>
      <c r="E109" s="28"/>
      <c r="F109" s="31"/>
      <c r="G109" s="28"/>
      <c r="H109" s="32"/>
      <c r="I109" s="31"/>
      <c r="J109" s="31"/>
      <c r="K109" s="31"/>
      <c r="L109" s="28"/>
      <c r="M109" s="28"/>
      <c r="N109" s="31"/>
    </row>
    <row r="110" customFormat="false" ht="19.5" hidden="false" customHeight="true" outlineLevel="0" collapsed="false">
      <c r="A110" s="27"/>
      <c r="B110" s="28"/>
      <c r="C110" s="31"/>
      <c r="D110" s="31"/>
      <c r="E110" s="28"/>
      <c r="F110" s="31"/>
      <c r="G110" s="28"/>
      <c r="H110" s="32"/>
      <c r="I110" s="31"/>
      <c r="J110" s="31"/>
      <c r="K110" s="31"/>
      <c r="L110" s="28"/>
      <c r="M110" s="28"/>
      <c r="N110" s="31"/>
    </row>
    <row r="111" customFormat="false" ht="19.5" hidden="false" customHeight="true" outlineLevel="0" collapsed="false">
      <c r="A111" s="27"/>
      <c r="B111" s="28"/>
      <c r="C111" s="31"/>
      <c r="D111" s="31"/>
      <c r="E111" s="28"/>
      <c r="F111" s="31"/>
      <c r="G111" s="28"/>
      <c r="H111" s="32"/>
      <c r="I111" s="31"/>
      <c r="J111" s="31"/>
      <c r="K111" s="31"/>
      <c r="L111" s="28"/>
      <c r="M111" s="28"/>
      <c r="N111" s="31"/>
    </row>
    <row r="112" customFormat="false" ht="19.5" hidden="false" customHeight="true" outlineLevel="0" collapsed="false">
      <c r="A112" s="27"/>
      <c r="B112" s="28"/>
      <c r="C112" s="31"/>
      <c r="D112" s="31"/>
      <c r="E112" s="28"/>
      <c r="F112" s="31"/>
      <c r="G112" s="28"/>
      <c r="H112" s="32"/>
      <c r="I112" s="31"/>
      <c r="J112" s="31"/>
      <c r="K112" s="31"/>
      <c r="L112" s="28"/>
      <c r="M112" s="28"/>
      <c r="N112" s="31"/>
    </row>
    <row r="113" customFormat="false" ht="19.5" hidden="false" customHeight="true" outlineLevel="0" collapsed="false">
      <c r="A113" s="27"/>
      <c r="B113" s="28"/>
      <c r="C113" s="31"/>
      <c r="D113" s="31"/>
      <c r="E113" s="28"/>
      <c r="F113" s="31"/>
      <c r="G113" s="28"/>
      <c r="H113" s="32"/>
      <c r="I113" s="31"/>
      <c r="J113" s="31"/>
      <c r="K113" s="31"/>
      <c r="L113" s="28"/>
      <c r="M113" s="28"/>
      <c r="N113" s="31"/>
    </row>
    <row r="114" customFormat="false" ht="19.5" hidden="false" customHeight="true" outlineLevel="0" collapsed="false">
      <c r="A114" s="27"/>
      <c r="B114" s="28"/>
      <c r="C114" s="31"/>
      <c r="D114" s="31"/>
      <c r="E114" s="28"/>
      <c r="F114" s="31"/>
      <c r="G114" s="28"/>
      <c r="H114" s="32"/>
      <c r="I114" s="31"/>
      <c r="J114" s="31"/>
      <c r="K114" s="31"/>
      <c r="L114" s="28"/>
      <c r="M114" s="28"/>
      <c r="N114" s="31"/>
    </row>
    <row r="115" customFormat="false" ht="19.5" hidden="false" customHeight="true" outlineLevel="0" collapsed="false">
      <c r="A115" s="27"/>
      <c r="B115" s="28"/>
      <c r="C115" s="31"/>
      <c r="D115" s="31"/>
      <c r="E115" s="28"/>
      <c r="F115" s="31"/>
      <c r="G115" s="28"/>
      <c r="H115" s="32"/>
      <c r="I115" s="31"/>
      <c r="J115" s="31"/>
      <c r="K115" s="31"/>
      <c r="L115" s="28"/>
      <c r="M115" s="28"/>
      <c r="N115" s="31"/>
    </row>
    <row r="116" customFormat="false" ht="19.5" hidden="false" customHeight="true" outlineLevel="0" collapsed="false">
      <c r="A116" s="27"/>
      <c r="B116" s="28"/>
      <c r="C116" s="31"/>
      <c r="D116" s="31"/>
      <c r="E116" s="28"/>
      <c r="F116" s="31"/>
      <c r="G116" s="28"/>
      <c r="H116" s="32"/>
      <c r="I116" s="31"/>
      <c r="J116" s="31"/>
      <c r="K116" s="31"/>
      <c r="L116" s="28"/>
      <c r="M116" s="28"/>
      <c r="N116" s="31"/>
    </row>
    <row r="117" customFormat="false" ht="19.5" hidden="false" customHeight="true" outlineLevel="0" collapsed="false">
      <c r="A117" s="27"/>
      <c r="B117" s="28"/>
      <c r="C117" s="31"/>
      <c r="D117" s="31"/>
      <c r="E117" s="28"/>
      <c r="F117" s="31"/>
      <c r="G117" s="28"/>
      <c r="H117" s="32"/>
      <c r="I117" s="31"/>
      <c r="J117" s="31"/>
      <c r="K117" s="31"/>
      <c r="L117" s="28"/>
      <c r="M117" s="28"/>
      <c r="N117" s="31"/>
    </row>
    <row r="118" customFormat="false" ht="19.5" hidden="false" customHeight="true" outlineLevel="0" collapsed="false">
      <c r="A118" s="27"/>
      <c r="B118" s="28"/>
      <c r="C118" s="31"/>
      <c r="D118" s="31"/>
      <c r="E118" s="28"/>
      <c r="F118" s="31"/>
      <c r="G118" s="28"/>
      <c r="H118" s="32"/>
      <c r="I118" s="31"/>
      <c r="J118" s="31"/>
      <c r="K118" s="31"/>
      <c r="L118" s="28"/>
      <c r="M118" s="28"/>
      <c r="N118" s="31"/>
    </row>
    <row r="119" customFormat="false" ht="19.5" hidden="false" customHeight="true" outlineLevel="0" collapsed="false">
      <c r="A119" s="27"/>
      <c r="B119" s="28"/>
      <c r="C119" s="31"/>
      <c r="D119" s="31"/>
      <c r="E119" s="28"/>
      <c r="F119" s="31"/>
      <c r="G119" s="28"/>
      <c r="H119" s="32"/>
      <c r="I119" s="31"/>
      <c r="J119" s="31"/>
      <c r="K119" s="31"/>
      <c r="L119" s="28"/>
      <c r="M119" s="28"/>
      <c r="N119" s="31"/>
    </row>
    <row r="120" customFormat="false" ht="19.5" hidden="false" customHeight="true" outlineLevel="0" collapsed="false">
      <c r="A120" s="27"/>
      <c r="B120" s="28"/>
      <c r="C120" s="31"/>
      <c r="D120" s="31"/>
      <c r="E120" s="28"/>
      <c r="F120" s="31"/>
      <c r="G120" s="28"/>
      <c r="H120" s="32"/>
      <c r="I120" s="31"/>
      <c r="J120" s="31"/>
      <c r="K120" s="31"/>
      <c r="L120" s="28"/>
      <c r="M120" s="28"/>
      <c r="N120" s="31"/>
    </row>
    <row r="121" customFormat="false" ht="19.5" hidden="false" customHeight="true" outlineLevel="0" collapsed="false">
      <c r="A121" s="27"/>
      <c r="B121" s="28"/>
      <c r="C121" s="31"/>
      <c r="D121" s="31"/>
      <c r="E121" s="28"/>
      <c r="F121" s="31"/>
      <c r="G121" s="28"/>
      <c r="H121" s="32"/>
      <c r="I121" s="31"/>
      <c r="J121" s="31"/>
      <c r="K121" s="31"/>
      <c r="L121" s="28"/>
      <c r="M121" s="28"/>
      <c r="N121" s="31"/>
    </row>
    <row r="122" customFormat="false" ht="19.5" hidden="false" customHeight="true" outlineLevel="0" collapsed="false">
      <c r="A122" s="27"/>
      <c r="B122" s="28"/>
      <c r="C122" s="31"/>
      <c r="D122" s="31"/>
      <c r="E122" s="28"/>
      <c r="F122" s="31"/>
      <c r="G122" s="28"/>
      <c r="H122" s="32"/>
      <c r="I122" s="31"/>
      <c r="J122" s="31"/>
      <c r="K122" s="31"/>
      <c r="L122" s="28"/>
      <c r="M122" s="28"/>
      <c r="N122" s="31"/>
    </row>
    <row r="123" customFormat="false" ht="19.5" hidden="false" customHeight="true" outlineLevel="0" collapsed="false">
      <c r="A123" s="27"/>
      <c r="B123" s="28"/>
      <c r="C123" s="31"/>
      <c r="D123" s="31"/>
      <c r="E123" s="28"/>
      <c r="F123" s="31"/>
      <c r="G123" s="28"/>
      <c r="H123" s="32"/>
      <c r="I123" s="31"/>
      <c r="J123" s="31"/>
      <c r="K123" s="31"/>
      <c r="L123" s="28"/>
      <c r="M123" s="28"/>
      <c r="N123" s="31"/>
    </row>
    <row r="124" customFormat="false" ht="19.5" hidden="false" customHeight="true" outlineLevel="0" collapsed="false">
      <c r="A124" s="27"/>
      <c r="B124" s="28"/>
      <c r="C124" s="31"/>
      <c r="D124" s="31"/>
      <c r="E124" s="28"/>
      <c r="F124" s="31"/>
      <c r="G124" s="28"/>
      <c r="H124" s="32"/>
      <c r="I124" s="31"/>
      <c r="J124" s="31"/>
      <c r="K124" s="31"/>
      <c r="L124" s="28"/>
      <c r="M124" s="28"/>
      <c r="N124" s="31"/>
    </row>
  </sheetData>
  <mergeCells count="2">
    <mergeCell ref="A1:N1"/>
    <mergeCell ref="A2:N2"/>
  </mergeCells>
  <conditionalFormatting sqref="M5:M124">
    <cfRule type="cellIs" priority="2" operator="equal" aboveAverage="0" equalAverage="0" bottom="0" percent="0" rank="0" text="" dxfId="1">
      <formula>"NON"</formula>
    </cfRule>
  </conditionalFormatting>
  <dataValidations count="3">
    <dataValidation allowBlank="true" errorStyle="stop" operator="between" showDropDown="false" showErrorMessage="false" showInputMessage="false" sqref="B5:B124" type="list">
      <formula1>"DTF,Trotec"</formula1>
      <formula2>0</formula2>
    </dataValidation>
    <dataValidation allowBlank="true" errorStyle="stop" operator="between" showDropDown="false" showErrorMessage="false" showInputMessage="false" sqref="F5:F124" type="list">
      <formula1>"Préventif,Usure,Casse,Garantie,Amélioration"</formula1>
      <formula2>0</formula2>
    </dataValidation>
    <dataValidation allowBlank="true" errorStyle="stop" operator="between" showDropDown="false" showErrorMessage="false" showInputMessage="false" sqref="M5:M124" type="list">
      <formula1>"OUI,NON"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10" min="8" style="0" width="12"/>
    <col collapsed="false" customWidth="true" hidden="false" outlineLevel="0" max="12" min="11" style="0" width="14"/>
  </cols>
  <sheetData>
    <row r="1" customFormat="false" ht="33.75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A4" s="10" t="s">
        <v>314</v>
      </c>
      <c r="B4" s="10" t="s">
        <v>315</v>
      </c>
      <c r="C4" s="10" t="s">
        <v>299</v>
      </c>
      <c r="D4" s="10" t="s">
        <v>316</v>
      </c>
      <c r="E4" s="10" t="s">
        <v>317</v>
      </c>
      <c r="F4" s="10" t="s">
        <v>318</v>
      </c>
      <c r="G4" s="10" t="s">
        <v>319</v>
      </c>
      <c r="H4" s="10" t="s">
        <v>305</v>
      </c>
      <c r="I4" s="10" t="s">
        <v>320</v>
      </c>
      <c r="J4" s="10" t="s">
        <v>178</v>
      </c>
      <c r="K4" s="10" t="s">
        <v>321</v>
      </c>
      <c r="L4" s="10" t="s">
        <v>322</v>
      </c>
    </row>
    <row r="5" customFormat="false" ht="25.5" hidden="false" customHeight="true" outlineLevel="0" collapsed="false">
      <c r="A5" s="35" t="n">
        <v>1</v>
      </c>
      <c r="B5" s="36"/>
      <c r="C5" s="28"/>
      <c r="D5" s="31"/>
      <c r="E5" s="31"/>
      <c r="F5" s="31"/>
      <c r="G5" s="31"/>
      <c r="H5" s="28"/>
      <c r="I5" s="37"/>
      <c r="J5" s="28"/>
      <c r="K5" s="31"/>
      <c r="L5" s="27"/>
    </row>
    <row r="6" customFormat="false" ht="25.5" hidden="false" customHeight="true" outlineLevel="0" collapsed="false">
      <c r="A6" s="38" t="n">
        <v>2</v>
      </c>
      <c r="B6" s="36"/>
      <c r="C6" s="28"/>
      <c r="D6" s="31"/>
      <c r="E6" s="31"/>
      <c r="F6" s="31"/>
      <c r="G6" s="31"/>
      <c r="H6" s="28"/>
      <c r="I6" s="37"/>
      <c r="J6" s="28"/>
      <c r="K6" s="31"/>
      <c r="L6" s="27"/>
    </row>
    <row r="7" customFormat="false" ht="25.5" hidden="false" customHeight="true" outlineLevel="0" collapsed="false">
      <c r="A7" s="35" t="n">
        <v>3</v>
      </c>
      <c r="B7" s="36"/>
      <c r="C7" s="28"/>
      <c r="D7" s="31"/>
      <c r="E7" s="31"/>
      <c r="F7" s="31"/>
      <c r="G7" s="31"/>
      <c r="H7" s="28"/>
      <c r="I7" s="37"/>
      <c r="J7" s="28"/>
      <c r="K7" s="31"/>
      <c r="L7" s="27"/>
    </row>
    <row r="8" customFormat="false" ht="25.5" hidden="false" customHeight="true" outlineLevel="0" collapsed="false">
      <c r="A8" s="38" t="n">
        <v>4</v>
      </c>
      <c r="B8" s="36"/>
      <c r="C8" s="28"/>
      <c r="D8" s="31"/>
      <c r="E8" s="31"/>
      <c r="F8" s="31"/>
      <c r="G8" s="31"/>
      <c r="H8" s="28"/>
      <c r="I8" s="37"/>
      <c r="J8" s="28"/>
      <c r="K8" s="31"/>
      <c r="L8" s="27"/>
    </row>
    <row r="9" customFormat="false" ht="25.5" hidden="false" customHeight="true" outlineLevel="0" collapsed="false">
      <c r="A9" s="35" t="n">
        <v>5</v>
      </c>
      <c r="B9" s="36"/>
      <c r="C9" s="28"/>
      <c r="D9" s="31"/>
      <c r="E9" s="31"/>
      <c r="F9" s="31"/>
      <c r="G9" s="31"/>
      <c r="H9" s="28"/>
      <c r="I9" s="37"/>
      <c r="J9" s="28"/>
      <c r="K9" s="31"/>
      <c r="L9" s="27"/>
    </row>
    <row r="10" customFormat="false" ht="25.5" hidden="false" customHeight="true" outlineLevel="0" collapsed="false">
      <c r="A10" s="38" t="n">
        <v>6</v>
      </c>
      <c r="B10" s="36"/>
      <c r="C10" s="28"/>
      <c r="D10" s="31"/>
      <c r="E10" s="31"/>
      <c r="F10" s="31"/>
      <c r="G10" s="31"/>
      <c r="H10" s="28"/>
      <c r="I10" s="37"/>
      <c r="J10" s="28"/>
      <c r="K10" s="31"/>
      <c r="L10" s="27"/>
    </row>
    <row r="11" customFormat="false" ht="25.5" hidden="false" customHeight="true" outlineLevel="0" collapsed="false">
      <c r="A11" s="35" t="n">
        <v>7</v>
      </c>
      <c r="B11" s="36"/>
      <c r="C11" s="28"/>
      <c r="D11" s="31"/>
      <c r="E11" s="31"/>
      <c r="F11" s="31"/>
      <c r="G11" s="31"/>
      <c r="H11" s="28"/>
      <c r="I11" s="37"/>
      <c r="J11" s="28"/>
      <c r="K11" s="31"/>
      <c r="L11" s="27"/>
    </row>
    <row r="12" customFormat="false" ht="25.5" hidden="false" customHeight="true" outlineLevel="0" collapsed="false">
      <c r="A12" s="38" t="n">
        <v>8</v>
      </c>
      <c r="B12" s="36"/>
      <c r="C12" s="28"/>
      <c r="D12" s="31"/>
      <c r="E12" s="31"/>
      <c r="F12" s="31"/>
      <c r="G12" s="31"/>
      <c r="H12" s="28"/>
      <c r="I12" s="37"/>
      <c r="J12" s="28"/>
      <c r="K12" s="31"/>
      <c r="L12" s="27"/>
    </row>
    <row r="13" customFormat="false" ht="25.5" hidden="false" customHeight="true" outlineLevel="0" collapsed="false">
      <c r="A13" s="35" t="n">
        <v>9</v>
      </c>
      <c r="B13" s="36"/>
      <c r="C13" s="28"/>
      <c r="D13" s="31"/>
      <c r="E13" s="31"/>
      <c r="F13" s="31"/>
      <c r="G13" s="31"/>
      <c r="H13" s="28"/>
      <c r="I13" s="37"/>
      <c r="J13" s="28"/>
      <c r="K13" s="31"/>
      <c r="L13" s="27"/>
    </row>
    <row r="14" customFormat="false" ht="25.5" hidden="false" customHeight="true" outlineLevel="0" collapsed="false">
      <c r="A14" s="38" t="n">
        <v>10</v>
      </c>
      <c r="B14" s="36"/>
      <c r="C14" s="28"/>
      <c r="D14" s="31"/>
      <c r="E14" s="31"/>
      <c r="F14" s="31"/>
      <c r="G14" s="31"/>
      <c r="H14" s="28"/>
      <c r="I14" s="37"/>
      <c r="J14" s="28"/>
      <c r="K14" s="31"/>
      <c r="L14" s="27"/>
    </row>
    <row r="15" customFormat="false" ht="25.5" hidden="false" customHeight="true" outlineLevel="0" collapsed="false">
      <c r="A15" s="35" t="n">
        <v>11</v>
      </c>
      <c r="B15" s="36"/>
      <c r="C15" s="28"/>
      <c r="D15" s="31"/>
      <c r="E15" s="31"/>
      <c r="F15" s="31"/>
      <c r="G15" s="31"/>
      <c r="H15" s="28"/>
      <c r="I15" s="37"/>
      <c r="J15" s="28"/>
      <c r="K15" s="31"/>
      <c r="L15" s="27"/>
    </row>
    <row r="16" customFormat="false" ht="25.5" hidden="false" customHeight="true" outlineLevel="0" collapsed="false">
      <c r="A16" s="38" t="n">
        <v>12</v>
      </c>
      <c r="B16" s="36"/>
      <c r="C16" s="28"/>
      <c r="D16" s="31"/>
      <c r="E16" s="31"/>
      <c r="F16" s="31"/>
      <c r="G16" s="31"/>
      <c r="H16" s="28"/>
      <c r="I16" s="37"/>
      <c r="J16" s="28"/>
      <c r="K16" s="31"/>
      <c r="L16" s="27"/>
    </row>
    <row r="17" customFormat="false" ht="25.5" hidden="false" customHeight="true" outlineLevel="0" collapsed="false">
      <c r="A17" s="35" t="n">
        <v>13</v>
      </c>
      <c r="B17" s="36"/>
      <c r="C17" s="28"/>
      <c r="D17" s="31"/>
      <c r="E17" s="31"/>
      <c r="F17" s="31"/>
      <c r="G17" s="31"/>
      <c r="H17" s="28"/>
      <c r="I17" s="37"/>
      <c r="J17" s="28"/>
      <c r="K17" s="31"/>
      <c r="L17" s="27"/>
    </row>
    <row r="18" customFormat="false" ht="25.5" hidden="false" customHeight="true" outlineLevel="0" collapsed="false">
      <c r="A18" s="38" t="n">
        <v>14</v>
      </c>
      <c r="B18" s="36"/>
      <c r="C18" s="28"/>
      <c r="D18" s="31"/>
      <c r="E18" s="31"/>
      <c r="F18" s="31"/>
      <c r="G18" s="31"/>
      <c r="H18" s="28"/>
      <c r="I18" s="37"/>
      <c r="J18" s="28"/>
      <c r="K18" s="31"/>
      <c r="L18" s="27"/>
    </row>
    <row r="19" customFormat="false" ht="25.5" hidden="false" customHeight="true" outlineLevel="0" collapsed="false">
      <c r="A19" s="35" t="n">
        <v>15</v>
      </c>
      <c r="B19" s="36"/>
      <c r="C19" s="28"/>
      <c r="D19" s="31"/>
      <c r="E19" s="31"/>
      <c r="F19" s="31"/>
      <c r="G19" s="31"/>
      <c r="H19" s="28"/>
      <c r="I19" s="37"/>
      <c r="J19" s="28"/>
      <c r="K19" s="31"/>
      <c r="L19" s="27"/>
    </row>
    <row r="20" customFormat="false" ht="25.5" hidden="false" customHeight="true" outlineLevel="0" collapsed="false">
      <c r="A20" s="38" t="n">
        <v>16</v>
      </c>
      <c r="B20" s="36"/>
      <c r="C20" s="28"/>
      <c r="D20" s="31"/>
      <c r="E20" s="31"/>
      <c r="F20" s="31"/>
      <c r="G20" s="31"/>
      <c r="H20" s="28"/>
      <c r="I20" s="37"/>
      <c r="J20" s="28"/>
      <c r="K20" s="31"/>
      <c r="L20" s="27"/>
    </row>
    <row r="21" customFormat="false" ht="25.5" hidden="false" customHeight="true" outlineLevel="0" collapsed="false">
      <c r="A21" s="35" t="n">
        <v>17</v>
      </c>
      <c r="B21" s="36"/>
      <c r="C21" s="28"/>
      <c r="D21" s="31"/>
      <c r="E21" s="31"/>
      <c r="F21" s="31"/>
      <c r="G21" s="31"/>
      <c r="H21" s="28"/>
      <c r="I21" s="37"/>
      <c r="J21" s="28"/>
      <c r="K21" s="31"/>
      <c r="L21" s="27"/>
    </row>
    <row r="22" customFormat="false" ht="25.5" hidden="false" customHeight="true" outlineLevel="0" collapsed="false">
      <c r="A22" s="38" t="n">
        <v>18</v>
      </c>
      <c r="B22" s="36"/>
      <c r="C22" s="28"/>
      <c r="D22" s="31"/>
      <c r="E22" s="31"/>
      <c r="F22" s="31"/>
      <c r="G22" s="31"/>
      <c r="H22" s="28"/>
      <c r="I22" s="37"/>
      <c r="J22" s="28"/>
      <c r="K22" s="31"/>
      <c r="L22" s="27"/>
    </row>
    <row r="23" customFormat="false" ht="25.5" hidden="false" customHeight="true" outlineLevel="0" collapsed="false">
      <c r="A23" s="35" t="n">
        <v>19</v>
      </c>
      <c r="B23" s="36"/>
      <c r="C23" s="28"/>
      <c r="D23" s="31"/>
      <c r="E23" s="31"/>
      <c r="F23" s="31"/>
      <c r="G23" s="31"/>
      <c r="H23" s="28"/>
      <c r="I23" s="37"/>
      <c r="J23" s="28"/>
      <c r="K23" s="31"/>
      <c r="L23" s="27"/>
    </row>
    <row r="24" customFormat="false" ht="25.5" hidden="false" customHeight="true" outlineLevel="0" collapsed="false">
      <c r="A24" s="38" t="n">
        <v>20</v>
      </c>
      <c r="B24" s="36"/>
      <c r="C24" s="28"/>
      <c r="D24" s="31"/>
      <c r="E24" s="31"/>
      <c r="F24" s="31"/>
      <c r="G24" s="31"/>
      <c r="H24" s="28"/>
      <c r="I24" s="37"/>
      <c r="J24" s="28"/>
      <c r="K24" s="31"/>
      <c r="L24" s="27"/>
    </row>
    <row r="25" customFormat="false" ht="25.5" hidden="false" customHeight="true" outlineLevel="0" collapsed="false">
      <c r="A25" s="35" t="n">
        <v>21</v>
      </c>
      <c r="B25" s="36"/>
      <c r="C25" s="28"/>
      <c r="D25" s="31"/>
      <c r="E25" s="31"/>
      <c r="F25" s="31"/>
      <c r="G25" s="31"/>
      <c r="H25" s="28"/>
      <c r="I25" s="37"/>
      <c r="J25" s="28"/>
      <c r="K25" s="31"/>
      <c r="L25" s="27"/>
    </row>
    <row r="26" customFormat="false" ht="25.5" hidden="false" customHeight="true" outlineLevel="0" collapsed="false">
      <c r="A26" s="38" t="n">
        <v>22</v>
      </c>
      <c r="B26" s="36"/>
      <c r="C26" s="28"/>
      <c r="D26" s="31"/>
      <c r="E26" s="31"/>
      <c r="F26" s="31"/>
      <c r="G26" s="31"/>
      <c r="H26" s="28"/>
      <c r="I26" s="37"/>
      <c r="J26" s="28"/>
      <c r="K26" s="31"/>
      <c r="L26" s="27"/>
    </row>
    <row r="27" customFormat="false" ht="25.5" hidden="false" customHeight="true" outlineLevel="0" collapsed="false">
      <c r="A27" s="35" t="n">
        <v>23</v>
      </c>
      <c r="B27" s="36"/>
      <c r="C27" s="28"/>
      <c r="D27" s="31"/>
      <c r="E27" s="31"/>
      <c r="F27" s="31"/>
      <c r="G27" s="31"/>
      <c r="H27" s="28"/>
      <c r="I27" s="37"/>
      <c r="J27" s="28"/>
      <c r="K27" s="31"/>
      <c r="L27" s="27"/>
    </row>
    <row r="28" customFormat="false" ht="25.5" hidden="false" customHeight="true" outlineLevel="0" collapsed="false">
      <c r="A28" s="38" t="n">
        <v>24</v>
      </c>
      <c r="B28" s="36"/>
      <c r="C28" s="28"/>
      <c r="D28" s="31"/>
      <c r="E28" s="31"/>
      <c r="F28" s="31"/>
      <c r="G28" s="31"/>
      <c r="H28" s="28"/>
      <c r="I28" s="37"/>
      <c r="J28" s="28"/>
      <c r="K28" s="31"/>
      <c r="L28" s="27"/>
    </row>
    <row r="29" customFormat="false" ht="25.5" hidden="false" customHeight="true" outlineLevel="0" collapsed="false">
      <c r="A29" s="35" t="n">
        <v>25</v>
      </c>
      <c r="B29" s="36"/>
      <c r="C29" s="28"/>
      <c r="D29" s="31"/>
      <c r="E29" s="31"/>
      <c r="F29" s="31"/>
      <c r="G29" s="31"/>
      <c r="H29" s="28"/>
      <c r="I29" s="37"/>
      <c r="J29" s="28"/>
      <c r="K29" s="31"/>
      <c r="L29" s="27"/>
    </row>
    <row r="30" customFormat="false" ht="25.5" hidden="false" customHeight="true" outlineLevel="0" collapsed="false">
      <c r="A30" s="38" t="n">
        <v>26</v>
      </c>
      <c r="B30" s="36"/>
      <c r="C30" s="28"/>
      <c r="D30" s="31"/>
      <c r="E30" s="31"/>
      <c r="F30" s="31"/>
      <c r="G30" s="31"/>
      <c r="H30" s="28"/>
      <c r="I30" s="37"/>
      <c r="J30" s="28"/>
      <c r="K30" s="31"/>
      <c r="L30" s="27"/>
    </row>
    <row r="31" customFormat="false" ht="25.5" hidden="false" customHeight="true" outlineLevel="0" collapsed="false">
      <c r="A31" s="35" t="n">
        <v>27</v>
      </c>
      <c r="B31" s="36"/>
      <c r="C31" s="28"/>
      <c r="D31" s="31"/>
      <c r="E31" s="31"/>
      <c r="F31" s="31"/>
      <c r="G31" s="31"/>
      <c r="H31" s="28"/>
      <c r="I31" s="37"/>
      <c r="J31" s="28"/>
      <c r="K31" s="31"/>
      <c r="L31" s="27"/>
    </row>
    <row r="32" customFormat="false" ht="25.5" hidden="false" customHeight="true" outlineLevel="0" collapsed="false">
      <c r="A32" s="38" t="n">
        <v>28</v>
      </c>
      <c r="B32" s="36"/>
      <c r="C32" s="28"/>
      <c r="D32" s="31"/>
      <c r="E32" s="31"/>
      <c r="F32" s="31"/>
      <c r="G32" s="31"/>
      <c r="H32" s="28"/>
      <c r="I32" s="37"/>
      <c r="J32" s="28"/>
      <c r="K32" s="31"/>
      <c r="L32" s="27"/>
    </row>
    <row r="33" customFormat="false" ht="25.5" hidden="false" customHeight="true" outlineLevel="0" collapsed="false">
      <c r="A33" s="35" t="n">
        <v>29</v>
      </c>
      <c r="B33" s="36"/>
      <c r="C33" s="28"/>
      <c r="D33" s="31"/>
      <c r="E33" s="31"/>
      <c r="F33" s="31"/>
      <c r="G33" s="31"/>
      <c r="H33" s="28"/>
      <c r="I33" s="37"/>
      <c r="J33" s="28"/>
      <c r="K33" s="31"/>
      <c r="L33" s="27"/>
    </row>
    <row r="34" customFormat="false" ht="25.5" hidden="false" customHeight="true" outlineLevel="0" collapsed="false">
      <c r="A34" s="38" t="n">
        <v>30</v>
      </c>
      <c r="B34" s="36"/>
      <c r="C34" s="28"/>
      <c r="D34" s="31"/>
      <c r="E34" s="31"/>
      <c r="F34" s="31"/>
      <c r="G34" s="31"/>
      <c r="H34" s="28"/>
      <c r="I34" s="37"/>
      <c r="J34" s="28"/>
      <c r="K34" s="31"/>
      <c r="L34" s="27"/>
    </row>
    <row r="35" customFormat="false" ht="25.5" hidden="false" customHeight="true" outlineLevel="0" collapsed="false">
      <c r="A35" s="35" t="n">
        <v>31</v>
      </c>
      <c r="B35" s="36"/>
      <c r="C35" s="28"/>
      <c r="D35" s="31"/>
      <c r="E35" s="31"/>
      <c r="F35" s="31"/>
      <c r="G35" s="31"/>
      <c r="H35" s="28"/>
      <c r="I35" s="37"/>
      <c r="J35" s="28"/>
      <c r="K35" s="31"/>
      <c r="L35" s="27"/>
    </row>
    <row r="36" customFormat="false" ht="25.5" hidden="false" customHeight="true" outlineLevel="0" collapsed="false">
      <c r="A36" s="38" t="n">
        <v>32</v>
      </c>
      <c r="B36" s="36"/>
      <c r="C36" s="28"/>
      <c r="D36" s="31"/>
      <c r="E36" s="31"/>
      <c r="F36" s="31"/>
      <c r="G36" s="31"/>
      <c r="H36" s="28"/>
      <c r="I36" s="37"/>
      <c r="J36" s="28"/>
      <c r="K36" s="31"/>
      <c r="L36" s="27"/>
    </row>
    <row r="37" customFormat="false" ht="25.5" hidden="false" customHeight="true" outlineLevel="0" collapsed="false">
      <c r="A37" s="35" t="n">
        <v>33</v>
      </c>
      <c r="B37" s="36"/>
      <c r="C37" s="28"/>
      <c r="D37" s="31"/>
      <c r="E37" s="31"/>
      <c r="F37" s="31"/>
      <c r="G37" s="31"/>
      <c r="H37" s="28"/>
      <c r="I37" s="37"/>
      <c r="J37" s="28"/>
      <c r="K37" s="31"/>
      <c r="L37" s="27"/>
    </row>
    <row r="38" customFormat="false" ht="25.5" hidden="false" customHeight="true" outlineLevel="0" collapsed="false">
      <c r="A38" s="38" t="n">
        <v>34</v>
      </c>
      <c r="B38" s="36"/>
      <c r="C38" s="28"/>
      <c r="D38" s="31"/>
      <c r="E38" s="31"/>
      <c r="F38" s="31"/>
      <c r="G38" s="31"/>
      <c r="H38" s="28"/>
      <c r="I38" s="37"/>
      <c r="J38" s="28"/>
      <c r="K38" s="31"/>
      <c r="L38" s="27"/>
    </row>
    <row r="39" customFormat="false" ht="25.5" hidden="false" customHeight="true" outlineLevel="0" collapsed="false">
      <c r="A39" s="35" t="n">
        <v>35</v>
      </c>
      <c r="B39" s="36"/>
      <c r="C39" s="28"/>
      <c r="D39" s="31"/>
      <c r="E39" s="31"/>
      <c r="F39" s="31"/>
      <c r="G39" s="31"/>
      <c r="H39" s="28"/>
      <c r="I39" s="37"/>
      <c r="J39" s="28"/>
      <c r="K39" s="31"/>
      <c r="L39" s="27"/>
    </row>
    <row r="40" customFormat="false" ht="25.5" hidden="false" customHeight="true" outlineLevel="0" collapsed="false">
      <c r="A40" s="38" t="n">
        <v>36</v>
      </c>
      <c r="B40" s="36"/>
      <c r="C40" s="28"/>
      <c r="D40" s="31"/>
      <c r="E40" s="31"/>
      <c r="F40" s="31"/>
      <c r="G40" s="31"/>
      <c r="H40" s="28"/>
      <c r="I40" s="37"/>
      <c r="J40" s="28"/>
      <c r="K40" s="31"/>
      <c r="L40" s="27"/>
    </row>
    <row r="41" customFormat="false" ht="25.5" hidden="false" customHeight="true" outlineLevel="0" collapsed="false">
      <c r="A41" s="35" t="n">
        <v>37</v>
      </c>
      <c r="B41" s="36"/>
      <c r="C41" s="28"/>
      <c r="D41" s="31"/>
      <c r="E41" s="31"/>
      <c r="F41" s="31"/>
      <c r="G41" s="31"/>
      <c r="H41" s="28"/>
      <c r="I41" s="37"/>
      <c r="J41" s="28"/>
      <c r="K41" s="31"/>
      <c r="L41" s="27"/>
    </row>
    <row r="42" customFormat="false" ht="25.5" hidden="false" customHeight="true" outlineLevel="0" collapsed="false">
      <c r="A42" s="38" t="n">
        <v>38</v>
      </c>
      <c r="B42" s="36"/>
      <c r="C42" s="28"/>
      <c r="D42" s="31"/>
      <c r="E42" s="31"/>
      <c r="F42" s="31"/>
      <c r="G42" s="31"/>
      <c r="H42" s="28"/>
      <c r="I42" s="37"/>
      <c r="J42" s="28"/>
      <c r="K42" s="31"/>
      <c r="L42" s="27"/>
    </row>
    <row r="43" customFormat="false" ht="25.5" hidden="false" customHeight="true" outlineLevel="0" collapsed="false">
      <c r="A43" s="35" t="n">
        <v>39</v>
      </c>
      <c r="B43" s="36"/>
      <c r="C43" s="28"/>
      <c r="D43" s="31"/>
      <c r="E43" s="31"/>
      <c r="F43" s="31"/>
      <c r="G43" s="31"/>
      <c r="H43" s="28"/>
      <c r="I43" s="37"/>
      <c r="J43" s="28"/>
      <c r="K43" s="31"/>
      <c r="L43" s="27"/>
    </row>
    <row r="44" customFormat="false" ht="25.5" hidden="false" customHeight="true" outlineLevel="0" collapsed="false">
      <c r="A44" s="38" t="n">
        <v>40</v>
      </c>
      <c r="B44" s="36"/>
      <c r="C44" s="28"/>
      <c r="D44" s="31"/>
      <c r="E44" s="31"/>
      <c r="F44" s="31"/>
      <c r="G44" s="31"/>
      <c r="H44" s="28"/>
      <c r="I44" s="37"/>
      <c r="J44" s="28"/>
      <c r="K44" s="31"/>
      <c r="L44" s="27"/>
    </row>
    <row r="45" customFormat="false" ht="25.5" hidden="false" customHeight="true" outlineLevel="0" collapsed="false">
      <c r="A45" s="35" t="n">
        <v>41</v>
      </c>
      <c r="B45" s="36"/>
      <c r="C45" s="28"/>
      <c r="D45" s="31"/>
      <c r="E45" s="31"/>
      <c r="F45" s="31"/>
      <c r="G45" s="31"/>
      <c r="H45" s="28"/>
      <c r="I45" s="37"/>
      <c r="J45" s="28"/>
      <c r="K45" s="31"/>
      <c r="L45" s="27"/>
    </row>
    <row r="46" customFormat="false" ht="25.5" hidden="false" customHeight="true" outlineLevel="0" collapsed="false">
      <c r="A46" s="38" t="n">
        <v>42</v>
      </c>
      <c r="B46" s="36"/>
      <c r="C46" s="28"/>
      <c r="D46" s="31"/>
      <c r="E46" s="31"/>
      <c r="F46" s="31"/>
      <c r="G46" s="31"/>
      <c r="H46" s="28"/>
      <c r="I46" s="37"/>
      <c r="J46" s="28"/>
      <c r="K46" s="31"/>
      <c r="L46" s="27"/>
    </row>
    <row r="47" customFormat="false" ht="25.5" hidden="false" customHeight="true" outlineLevel="0" collapsed="false">
      <c r="A47" s="35" t="n">
        <v>43</v>
      </c>
      <c r="B47" s="36"/>
      <c r="C47" s="28"/>
      <c r="D47" s="31"/>
      <c r="E47" s="31"/>
      <c r="F47" s="31"/>
      <c r="G47" s="31"/>
      <c r="H47" s="28"/>
      <c r="I47" s="37"/>
      <c r="J47" s="28"/>
      <c r="K47" s="31"/>
      <c r="L47" s="27"/>
    </row>
    <row r="48" customFormat="false" ht="25.5" hidden="false" customHeight="true" outlineLevel="0" collapsed="false">
      <c r="A48" s="38" t="n">
        <v>44</v>
      </c>
      <c r="B48" s="36"/>
      <c r="C48" s="28"/>
      <c r="D48" s="31"/>
      <c r="E48" s="31"/>
      <c r="F48" s="31"/>
      <c r="G48" s="31"/>
      <c r="H48" s="28"/>
      <c r="I48" s="37"/>
      <c r="J48" s="28"/>
      <c r="K48" s="31"/>
      <c r="L48" s="27"/>
    </row>
    <row r="49" customFormat="false" ht="25.5" hidden="false" customHeight="true" outlineLevel="0" collapsed="false">
      <c r="A49" s="35" t="n">
        <v>45</v>
      </c>
      <c r="B49" s="36"/>
      <c r="C49" s="28"/>
      <c r="D49" s="31"/>
      <c r="E49" s="31"/>
      <c r="F49" s="31"/>
      <c r="G49" s="31"/>
      <c r="H49" s="28"/>
      <c r="I49" s="37"/>
      <c r="J49" s="28"/>
      <c r="K49" s="31"/>
      <c r="L49" s="27"/>
    </row>
    <row r="50" customFormat="false" ht="25.5" hidden="false" customHeight="true" outlineLevel="0" collapsed="false">
      <c r="A50" s="38" t="n">
        <v>46</v>
      </c>
      <c r="B50" s="36"/>
      <c r="C50" s="28"/>
      <c r="D50" s="31"/>
      <c r="E50" s="31"/>
      <c r="F50" s="31"/>
      <c r="G50" s="31"/>
      <c r="H50" s="28"/>
      <c r="I50" s="37"/>
      <c r="J50" s="28"/>
      <c r="K50" s="31"/>
      <c r="L50" s="27"/>
    </row>
    <row r="51" customFormat="false" ht="25.5" hidden="false" customHeight="true" outlineLevel="0" collapsed="false">
      <c r="A51" s="35" t="n">
        <v>47</v>
      </c>
      <c r="B51" s="36"/>
      <c r="C51" s="28"/>
      <c r="D51" s="31"/>
      <c r="E51" s="31"/>
      <c r="F51" s="31"/>
      <c r="G51" s="31"/>
      <c r="H51" s="28"/>
      <c r="I51" s="37"/>
      <c r="J51" s="28"/>
      <c r="K51" s="31"/>
      <c r="L51" s="27"/>
    </row>
    <row r="52" customFormat="false" ht="25.5" hidden="false" customHeight="true" outlineLevel="0" collapsed="false">
      <c r="A52" s="38" t="n">
        <v>48</v>
      </c>
      <c r="B52" s="36"/>
      <c r="C52" s="28"/>
      <c r="D52" s="31"/>
      <c r="E52" s="31"/>
      <c r="F52" s="31"/>
      <c r="G52" s="31"/>
      <c r="H52" s="28"/>
      <c r="I52" s="37"/>
      <c r="J52" s="28"/>
      <c r="K52" s="31"/>
      <c r="L52" s="27"/>
    </row>
    <row r="53" customFormat="false" ht="25.5" hidden="false" customHeight="true" outlineLevel="0" collapsed="false">
      <c r="A53" s="35" t="n">
        <v>49</v>
      </c>
      <c r="B53" s="36"/>
      <c r="C53" s="28"/>
      <c r="D53" s="31"/>
      <c r="E53" s="31"/>
      <c r="F53" s="31"/>
      <c r="G53" s="31"/>
      <c r="H53" s="28"/>
      <c r="I53" s="37"/>
      <c r="J53" s="28"/>
      <c r="K53" s="31"/>
      <c r="L53" s="27"/>
    </row>
    <row r="54" customFormat="false" ht="25.5" hidden="false" customHeight="true" outlineLevel="0" collapsed="false">
      <c r="A54" s="38" t="n">
        <v>50</v>
      </c>
      <c r="B54" s="36"/>
      <c r="C54" s="28"/>
      <c r="D54" s="31"/>
      <c r="E54" s="31"/>
      <c r="F54" s="31"/>
      <c r="G54" s="31"/>
      <c r="H54" s="28"/>
      <c r="I54" s="37"/>
      <c r="J54" s="28"/>
      <c r="K54" s="31"/>
      <c r="L54" s="27"/>
    </row>
    <row r="55" customFormat="false" ht="25.5" hidden="false" customHeight="true" outlineLevel="0" collapsed="false">
      <c r="A55" s="35" t="n">
        <v>51</v>
      </c>
      <c r="B55" s="36"/>
      <c r="C55" s="28"/>
      <c r="D55" s="31"/>
      <c r="E55" s="31"/>
      <c r="F55" s="31"/>
      <c r="G55" s="31"/>
      <c r="H55" s="28"/>
      <c r="I55" s="37"/>
      <c r="J55" s="28"/>
      <c r="K55" s="31"/>
      <c r="L55" s="27"/>
    </row>
    <row r="56" customFormat="false" ht="25.5" hidden="false" customHeight="true" outlineLevel="0" collapsed="false">
      <c r="A56" s="38" t="n">
        <v>52</v>
      </c>
      <c r="B56" s="36"/>
      <c r="C56" s="28"/>
      <c r="D56" s="31"/>
      <c r="E56" s="31"/>
      <c r="F56" s="31"/>
      <c r="G56" s="31"/>
      <c r="H56" s="28"/>
      <c r="I56" s="37"/>
      <c r="J56" s="28"/>
      <c r="K56" s="31"/>
      <c r="L56" s="27"/>
    </row>
    <row r="57" customFormat="false" ht="25.5" hidden="false" customHeight="true" outlineLevel="0" collapsed="false">
      <c r="A57" s="35" t="n">
        <v>53</v>
      </c>
      <c r="B57" s="36"/>
      <c r="C57" s="28"/>
      <c r="D57" s="31"/>
      <c r="E57" s="31"/>
      <c r="F57" s="31"/>
      <c r="G57" s="31"/>
      <c r="H57" s="28"/>
      <c r="I57" s="37"/>
      <c r="J57" s="28"/>
      <c r="K57" s="31"/>
      <c r="L57" s="27"/>
    </row>
    <row r="58" customFormat="false" ht="25.5" hidden="false" customHeight="true" outlineLevel="0" collapsed="false">
      <c r="A58" s="38" t="n">
        <v>54</v>
      </c>
      <c r="B58" s="36"/>
      <c r="C58" s="28"/>
      <c r="D58" s="31"/>
      <c r="E58" s="31"/>
      <c r="F58" s="31"/>
      <c r="G58" s="31"/>
      <c r="H58" s="28"/>
      <c r="I58" s="37"/>
      <c r="J58" s="28"/>
      <c r="K58" s="31"/>
      <c r="L58" s="27"/>
    </row>
    <row r="59" customFormat="false" ht="25.5" hidden="false" customHeight="true" outlineLevel="0" collapsed="false">
      <c r="A59" s="35" t="n">
        <v>55</v>
      </c>
      <c r="B59" s="36"/>
      <c r="C59" s="28"/>
      <c r="D59" s="31"/>
      <c r="E59" s="31"/>
      <c r="F59" s="31"/>
      <c r="G59" s="31"/>
      <c r="H59" s="28"/>
      <c r="I59" s="37"/>
      <c r="J59" s="28"/>
      <c r="K59" s="31"/>
      <c r="L59" s="27"/>
    </row>
    <row r="60" customFormat="false" ht="25.5" hidden="false" customHeight="true" outlineLevel="0" collapsed="false">
      <c r="A60" s="38" t="n">
        <v>56</v>
      </c>
      <c r="B60" s="36"/>
      <c r="C60" s="28"/>
      <c r="D60" s="31"/>
      <c r="E60" s="31"/>
      <c r="F60" s="31"/>
      <c r="G60" s="31"/>
      <c r="H60" s="28"/>
      <c r="I60" s="37"/>
      <c r="J60" s="28"/>
      <c r="K60" s="31"/>
      <c r="L60" s="27"/>
    </row>
    <row r="61" customFormat="false" ht="25.5" hidden="false" customHeight="true" outlineLevel="0" collapsed="false">
      <c r="A61" s="35" t="n">
        <v>57</v>
      </c>
      <c r="B61" s="36"/>
      <c r="C61" s="28"/>
      <c r="D61" s="31"/>
      <c r="E61" s="31"/>
      <c r="F61" s="31"/>
      <c r="G61" s="31"/>
      <c r="H61" s="28"/>
      <c r="I61" s="37"/>
      <c r="J61" s="28"/>
      <c r="K61" s="31"/>
      <c r="L61" s="27"/>
    </row>
    <row r="62" customFormat="false" ht="25.5" hidden="false" customHeight="true" outlineLevel="0" collapsed="false">
      <c r="A62" s="38" t="n">
        <v>58</v>
      </c>
      <c r="B62" s="36"/>
      <c r="C62" s="28"/>
      <c r="D62" s="31"/>
      <c r="E62" s="31"/>
      <c r="F62" s="31"/>
      <c r="G62" s="31"/>
      <c r="H62" s="28"/>
      <c r="I62" s="37"/>
      <c r="J62" s="28"/>
      <c r="K62" s="31"/>
      <c r="L62" s="27"/>
    </row>
    <row r="63" customFormat="false" ht="25.5" hidden="false" customHeight="true" outlineLevel="0" collapsed="false">
      <c r="A63" s="35" t="n">
        <v>59</v>
      </c>
      <c r="B63" s="36"/>
      <c r="C63" s="28"/>
      <c r="D63" s="31"/>
      <c r="E63" s="31"/>
      <c r="F63" s="31"/>
      <c r="G63" s="31"/>
      <c r="H63" s="28"/>
      <c r="I63" s="37"/>
      <c r="J63" s="28"/>
      <c r="K63" s="31"/>
      <c r="L63" s="27"/>
    </row>
    <row r="64" customFormat="false" ht="25.5" hidden="false" customHeight="true" outlineLevel="0" collapsed="false">
      <c r="A64" s="38" t="n">
        <v>60</v>
      </c>
      <c r="B64" s="36"/>
      <c r="C64" s="28"/>
      <c r="D64" s="31"/>
      <c r="E64" s="31"/>
      <c r="F64" s="31"/>
      <c r="G64" s="31"/>
      <c r="H64" s="28"/>
      <c r="I64" s="37"/>
      <c r="J64" s="28"/>
      <c r="K64" s="31"/>
      <c r="L64" s="27"/>
    </row>
    <row r="65" customFormat="false" ht="25.5" hidden="false" customHeight="true" outlineLevel="0" collapsed="false">
      <c r="A65" s="35" t="n">
        <v>61</v>
      </c>
      <c r="B65" s="36"/>
      <c r="C65" s="28"/>
      <c r="D65" s="31"/>
      <c r="E65" s="31"/>
      <c r="F65" s="31"/>
      <c r="G65" s="31"/>
      <c r="H65" s="28"/>
      <c r="I65" s="37"/>
      <c r="J65" s="28"/>
      <c r="K65" s="31"/>
      <c r="L65" s="27"/>
    </row>
    <row r="66" customFormat="false" ht="25.5" hidden="false" customHeight="true" outlineLevel="0" collapsed="false">
      <c r="A66" s="38" t="n">
        <v>62</v>
      </c>
      <c r="B66" s="36"/>
      <c r="C66" s="28"/>
      <c r="D66" s="31"/>
      <c r="E66" s="31"/>
      <c r="F66" s="31"/>
      <c r="G66" s="31"/>
      <c r="H66" s="28"/>
      <c r="I66" s="37"/>
      <c r="J66" s="28"/>
      <c r="K66" s="31"/>
      <c r="L66" s="27"/>
    </row>
    <row r="67" customFormat="false" ht="25.5" hidden="false" customHeight="true" outlineLevel="0" collapsed="false">
      <c r="A67" s="35" t="n">
        <v>63</v>
      </c>
      <c r="B67" s="36"/>
      <c r="C67" s="28"/>
      <c r="D67" s="31"/>
      <c r="E67" s="31"/>
      <c r="F67" s="31"/>
      <c r="G67" s="31"/>
      <c r="H67" s="28"/>
      <c r="I67" s="37"/>
      <c r="J67" s="28"/>
      <c r="K67" s="31"/>
      <c r="L67" s="27"/>
    </row>
    <row r="68" customFormat="false" ht="25.5" hidden="false" customHeight="true" outlineLevel="0" collapsed="false">
      <c r="A68" s="38" t="n">
        <v>64</v>
      </c>
      <c r="B68" s="36"/>
      <c r="C68" s="28"/>
      <c r="D68" s="31"/>
      <c r="E68" s="31"/>
      <c r="F68" s="31"/>
      <c r="G68" s="31"/>
      <c r="H68" s="28"/>
      <c r="I68" s="37"/>
      <c r="J68" s="28"/>
      <c r="K68" s="31"/>
      <c r="L68" s="27"/>
    </row>
    <row r="69" customFormat="false" ht="25.5" hidden="false" customHeight="true" outlineLevel="0" collapsed="false">
      <c r="A69" s="35" t="n">
        <v>65</v>
      </c>
      <c r="B69" s="36"/>
      <c r="C69" s="28"/>
      <c r="D69" s="31"/>
      <c r="E69" s="31"/>
      <c r="F69" s="31"/>
      <c r="G69" s="31"/>
      <c r="H69" s="28"/>
      <c r="I69" s="37"/>
      <c r="J69" s="28"/>
      <c r="K69" s="31"/>
      <c r="L69" s="27"/>
    </row>
    <row r="70" customFormat="false" ht="25.5" hidden="false" customHeight="true" outlineLevel="0" collapsed="false">
      <c r="A70" s="38" t="n">
        <v>66</v>
      </c>
      <c r="B70" s="36"/>
      <c r="C70" s="28"/>
      <c r="D70" s="31"/>
      <c r="E70" s="31"/>
      <c r="F70" s="31"/>
      <c r="G70" s="31"/>
      <c r="H70" s="28"/>
      <c r="I70" s="37"/>
      <c r="J70" s="28"/>
      <c r="K70" s="31"/>
      <c r="L70" s="27"/>
    </row>
    <row r="71" customFormat="false" ht="25.5" hidden="false" customHeight="true" outlineLevel="0" collapsed="false">
      <c r="A71" s="35" t="n">
        <v>67</v>
      </c>
      <c r="B71" s="36"/>
      <c r="C71" s="28"/>
      <c r="D71" s="31"/>
      <c r="E71" s="31"/>
      <c r="F71" s="31"/>
      <c r="G71" s="31"/>
      <c r="H71" s="28"/>
      <c r="I71" s="37"/>
      <c r="J71" s="28"/>
      <c r="K71" s="31"/>
      <c r="L71" s="27"/>
    </row>
    <row r="72" customFormat="false" ht="25.5" hidden="false" customHeight="true" outlineLevel="0" collapsed="false">
      <c r="A72" s="38" t="n">
        <v>68</v>
      </c>
      <c r="B72" s="36"/>
      <c r="C72" s="28"/>
      <c r="D72" s="31"/>
      <c r="E72" s="31"/>
      <c r="F72" s="31"/>
      <c r="G72" s="31"/>
      <c r="H72" s="28"/>
      <c r="I72" s="37"/>
      <c r="J72" s="28"/>
      <c r="K72" s="31"/>
      <c r="L72" s="27"/>
    </row>
    <row r="73" customFormat="false" ht="25.5" hidden="false" customHeight="true" outlineLevel="0" collapsed="false">
      <c r="A73" s="35" t="n">
        <v>69</v>
      </c>
      <c r="B73" s="36"/>
      <c r="C73" s="28"/>
      <c r="D73" s="31"/>
      <c r="E73" s="31"/>
      <c r="F73" s="31"/>
      <c r="G73" s="31"/>
      <c r="H73" s="28"/>
      <c r="I73" s="37"/>
      <c r="J73" s="28"/>
      <c r="K73" s="31"/>
      <c r="L73" s="27"/>
    </row>
    <row r="74" customFormat="false" ht="25.5" hidden="false" customHeight="true" outlineLevel="0" collapsed="false">
      <c r="A74" s="38" t="n">
        <v>70</v>
      </c>
      <c r="B74" s="36"/>
      <c r="C74" s="28"/>
      <c r="D74" s="31"/>
      <c r="E74" s="31"/>
      <c r="F74" s="31"/>
      <c r="G74" s="31"/>
      <c r="H74" s="28"/>
      <c r="I74" s="37"/>
      <c r="J74" s="28"/>
      <c r="K74" s="31"/>
      <c r="L74" s="27"/>
    </row>
    <row r="75" customFormat="false" ht="25.5" hidden="false" customHeight="true" outlineLevel="0" collapsed="false">
      <c r="A75" s="35" t="n">
        <v>71</v>
      </c>
      <c r="B75" s="36"/>
      <c r="C75" s="28"/>
      <c r="D75" s="31"/>
      <c r="E75" s="31"/>
      <c r="F75" s="31"/>
      <c r="G75" s="31"/>
      <c r="H75" s="28"/>
      <c r="I75" s="37"/>
      <c r="J75" s="28"/>
      <c r="K75" s="31"/>
      <c r="L75" s="27"/>
    </row>
    <row r="76" customFormat="false" ht="25.5" hidden="false" customHeight="true" outlineLevel="0" collapsed="false">
      <c r="A76" s="38" t="n">
        <v>72</v>
      </c>
      <c r="B76" s="36"/>
      <c r="C76" s="28"/>
      <c r="D76" s="31"/>
      <c r="E76" s="31"/>
      <c r="F76" s="31"/>
      <c r="G76" s="31"/>
      <c r="H76" s="28"/>
      <c r="I76" s="37"/>
      <c r="J76" s="28"/>
      <c r="K76" s="31"/>
      <c r="L76" s="27"/>
    </row>
    <row r="77" customFormat="false" ht="25.5" hidden="false" customHeight="true" outlineLevel="0" collapsed="false">
      <c r="A77" s="35" t="n">
        <v>73</v>
      </c>
      <c r="B77" s="36"/>
      <c r="C77" s="28"/>
      <c r="D77" s="31"/>
      <c r="E77" s="31"/>
      <c r="F77" s="31"/>
      <c r="G77" s="31"/>
      <c r="H77" s="28"/>
      <c r="I77" s="37"/>
      <c r="J77" s="28"/>
      <c r="K77" s="31"/>
      <c r="L77" s="27"/>
    </row>
    <row r="78" customFormat="false" ht="25.5" hidden="false" customHeight="true" outlineLevel="0" collapsed="false">
      <c r="A78" s="38" t="n">
        <v>74</v>
      </c>
      <c r="B78" s="36"/>
      <c r="C78" s="28"/>
      <c r="D78" s="31"/>
      <c r="E78" s="31"/>
      <c r="F78" s="31"/>
      <c r="G78" s="31"/>
      <c r="H78" s="28"/>
      <c r="I78" s="37"/>
      <c r="J78" s="28"/>
      <c r="K78" s="31"/>
      <c r="L78" s="27"/>
    </row>
    <row r="79" customFormat="false" ht="25.5" hidden="false" customHeight="true" outlineLevel="0" collapsed="false">
      <c r="A79" s="35" t="n">
        <v>75</v>
      </c>
      <c r="B79" s="36"/>
      <c r="C79" s="28"/>
      <c r="D79" s="31"/>
      <c r="E79" s="31"/>
      <c r="F79" s="31"/>
      <c r="G79" s="31"/>
      <c r="H79" s="28"/>
      <c r="I79" s="37"/>
      <c r="J79" s="28"/>
      <c r="K79" s="31"/>
      <c r="L79" s="27"/>
    </row>
    <row r="80" customFormat="false" ht="25.5" hidden="false" customHeight="true" outlineLevel="0" collapsed="false">
      <c r="A80" s="38" t="n">
        <v>76</v>
      </c>
      <c r="B80" s="36"/>
      <c r="C80" s="28"/>
      <c r="D80" s="31"/>
      <c r="E80" s="31"/>
      <c r="F80" s="31"/>
      <c r="G80" s="31"/>
      <c r="H80" s="28"/>
      <c r="I80" s="37"/>
      <c r="J80" s="28"/>
      <c r="K80" s="31"/>
      <c r="L80" s="27"/>
    </row>
    <row r="81" customFormat="false" ht="25.5" hidden="false" customHeight="true" outlineLevel="0" collapsed="false">
      <c r="A81" s="35" t="n">
        <v>77</v>
      </c>
      <c r="B81" s="36"/>
      <c r="C81" s="28"/>
      <c r="D81" s="31"/>
      <c r="E81" s="31"/>
      <c r="F81" s="31"/>
      <c r="G81" s="31"/>
      <c r="H81" s="28"/>
      <c r="I81" s="37"/>
      <c r="J81" s="28"/>
      <c r="K81" s="31"/>
      <c r="L81" s="27"/>
    </row>
    <row r="82" customFormat="false" ht="25.5" hidden="false" customHeight="true" outlineLevel="0" collapsed="false">
      <c r="A82" s="38" t="n">
        <v>78</v>
      </c>
      <c r="B82" s="36"/>
      <c r="C82" s="28"/>
      <c r="D82" s="31"/>
      <c r="E82" s="31"/>
      <c r="F82" s="31"/>
      <c r="G82" s="31"/>
      <c r="H82" s="28"/>
      <c r="I82" s="37"/>
      <c r="J82" s="28"/>
      <c r="K82" s="31"/>
      <c r="L82" s="27"/>
    </row>
    <row r="83" customFormat="false" ht="25.5" hidden="false" customHeight="true" outlineLevel="0" collapsed="false">
      <c r="A83" s="35" t="n">
        <v>79</v>
      </c>
      <c r="B83" s="36"/>
      <c r="C83" s="28"/>
      <c r="D83" s="31"/>
      <c r="E83" s="31"/>
      <c r="F83" s="31"/>
      <c r="G83" s="31"/>
      <c r="H83" s="28"/>
      <c r="I83" s="37"/>
      <c r="J83" s="28"/>
      <c r="K83" s="31"/>
      <c r="L83" s="27"/>
    </row>
    <row r="84" customFormat="false" ht="25.5" hidden="false" customHeight="true" outlineLevel="0" collapsed="false">
      <c r="A84" s="38" t="n">
        <v>80</v>
      </c>
      <c r="B84" s="36"/>
      <c r="C84" s="28"/>
      <c r="D84" s="31"/>
      <c r="E84" s="31"/>
      <c r="F84" s="31"/>
      <c r="G84" s="31"/>
      <c r="H84" s="28"/>
      <c r="I84" s="37"/>
      <c r="J84" s="28"/>
      <c r="K84" s="31"/>
      <c r="L84" s="27"/>
    </row>
    <row r="85" customFormat="false" ht="25.5" hidden="false" customHeight="true" outlineLevel="0" collapsed="false">
      <c r="A85" s="35" t="n">
        <v>81</v>
      </c>
      <c r="B85" s="36"/>
      <c r="C85" s="28"/>
      <c r="D85" s="31"/>
      <c r="E85" s="31"/>
      <c r="F85" s="31"/>
      <c r="G85" s="31"/>
      <c r="H85" s="28"/>
      <c r="I85" s="37"/>
      <c r="J85" s="28"/>
      <c r="K85" s="31"/>
      <c r="L85" s="27"/>
    </row>
    <row r="86" customFormat="false" ht="25.5" hidden="false" customHeight="true" outlineLevel="0" collapsed="false">
      <c r="A86" s="38" t="n">
        <v>82</v>
      </c>
      <c r="B86" s="36"/>
      <c r="C86" s="28"/>
      <c r="D86" s="31"/>
      <c r="E86" s="31"/>
      <c r="F86" s="31"/>
      <c r="G86" s="31"/>
      <c r="H86" s="28"/>
      <c r="I86" s="37"/>
      <c r="J86" s="28"/>
      <c r="K86" s="31"/>
      <c r="L86" s="27"/>
    </row>
    <row r="87" customFormat="false" ht="25.5" hidden="false" customHeight="true" outlineLevel="0" collapsed="false">
      <c r="A87" s="35" t="n">
        <v>83</v>
      </c>
      <c r="B87" s="36"/>
      <c r="C87" s="28"/>
      <c r="D87" s="31"/>
      <c r="E87" s="31"/>
      <c r="F87" s="31"/>
      <c r="G87" s="31"/>
      <c r="H87" s="28"/>
      <c r="I87" s="37"/>
      <c r="J87" s="28"/>
      <c r="K87" s="31"/>
      <c r="L87" s="27"/>
    </row>
    <row r="88" customFormat="false" ht="25.5" hidden="false" customHeight="true" outlineLevel="0" collapsed="false">
      <c r="A88" s="38" t="n">
        <v>84</v>
      </c>
      <c r="B88" s="36"/>
      <c r="C88" s="28"/>
      <c r="D88" s="31"/>
      <c r="E88" s="31"/>
      <c r="F88" s="31"/>
      <c r="G88" s="31"/>
      <c r="H88" s="28"/>
      <c r="I88" s="37"/>
      <c r="J88" s="28"/>
      <c r="K88" s="31"/>
      <c r="L88" s="27"/>
    </row>
    <row r="89" customFormat="false" ht="25.5" hidden="false" customHeight="true" outlineLevel="0" collapsed="false">
      <c r="A89" s="35" t="n">
        <v>85</v>
      </c>
      <c r="B89" s="36"/>
      <c r="C89" s="28"/>
      <c r="D89" s="31"/>
      <c r="E89" s="31"/>
      <c r="F89" s="31"/>
      <c r="G89" s="31"/>
      <c r="H89" s="28"/>
      <c r="I89" s="37"/>
      <c r="J89" s="28"/>
      <c r="K89" s="31"/>
      <c r="L89" s="27"/>
    </row>
    <row r="90" customFormat="false" ht="25.5" hidden="false" customHeight="true" outlineLevel="0" collapsed="false">
      <c r="A90" s="38" t="n">
        <v>86</v>
      </c>
      <c r="B90" s="36"/>
      <c r="C90" s="28"/>
      <c r="D90" s="31"/>
      <c r="E90" s="31"/>
      <c r="F90" s="31"/>
      <c r="G90" s="31"/>
      <c r="H90" s="28"/>
      <c r="I90" s="37"/>
      <c r="J90" s="28"/>
      <c r="K90" s="31"/>
      <c r="L90" s="27"/>
    </row>
    <row r="91" customFormat="false" ht="25.5" hidden="false" customHeight="true" outlineLevel="0" collapsed="false">
      <c r="A91" s="35" t="n">
        <v>87</v>
      </c>
      <c r="B91" s="36"/>
      <c r="C91" s="28"/>
      <c r="D91" s="31"/>
      <c r="E91" s="31"/>
      <c r="F91" s="31"/>
      <c r="G91" s="31"/>
      <c r="H91" s="28"/>
      <c r="I91" s="37"/>
      <c r="J91" s="28"/>
      <c r="K91" s="31"/>
      <c r="L91" s="27"/>
    </row>
    <row r="92" customFormat="false" ht="25.5" hidden="false" customHeight="true" outlineLevel="0" collapsed="false">
      <c r="A92" s="38" t="n">
        <v>88</v>
      </c>
      <c r="B92" s="36"/>
      <c r="C92" s="28"/>
      <c r="D92" s="31"/>
      <c r="E92" s="31"/>
      <c r="F92" s="31"/>
      <c r="G92" s="31"/>
      <c r="H92" s="28"/>
      <c r="I92" s="37"/>
      <c r="J92" s="28"/>
      <c r="K92" s="31"/>
      <c r="L92" s="27"/>
    </row>
    <row r="93" customFormat="false" ht="25.5" hidden="false" customHeight="true" outlineLevel="0" collapsed="false">
      <c r="A93" s="35" t="n">
        <v>89</v>
      </c>
      <c r="B93" s="36"/>
      <c r="C93" s="28"/>
      <c r="D93" s="31"/>
      <c r="E93" s="31"/>
      <c r="F93" s="31"/>
      <c r="G93" s="31"/>
      <c r="H93" s="28"/>
      <c r="I93" s="37"/>
      <c r="J93" s="28"/>
      <c r="K93" s="31"/>
      <c r="L93" s="27"/>
    </row>
    <row r="94" customFormat="false" ht="25.5" hidden="false" customHeight="true" outlineLevel="0" collapsed="false">
      <c r="A94" s="38" t="n">
        <v>90</v>
      </c>
      <c r="B94" s="36"/>
      <c r="C94" s="28"/>
      <c r="D94" s="31"/>
      <c r="E94" s="31"/>
      <c r="F94" s="31"/>
      <c r="G94" s="31"/>
      <c r="H94" s="28"/>
      <c r="I94" s="37"/>
      <c r="J94" s="28"/>
      <c r="K94" s="31"/>
      <c r="L94" s="27"/>
    </row>
    <row r="95" customFormat="false" ht="25.5" hidden="false" customHeight="true" outlineLevel="0" collapsed="false">
      <c r="A95" s="35" t="n">
        <v>91</v>
      </c>
      <c r="B95" s="36"/>
      <c r="C95" s="28"/>
      <c r="D95" s="31"/>
      <c r="E95" s="31"/>
      <c r="F95" s="31"/>
      <c r="G95" s="31"/>
      <c r="H95" s="28"/>
      <c r="I95" s="37"/>
      <c r="J95" s="28"/>
      <c r="K95" s="31"/>
      <c r="L95" s="27"/>
    </row>
    <row r="96" customFormat="false" ht="25.5" hidden="false" customHeight="true" outlineLevel="0" collapsed="false">
      <c r="A96" s="38" t="n">
        <v>92</v>
      </c>
      <c r="B96" s="36"/>
      <c r="C96" s="28"/>
      <c r="D96" s="31"/>
      <c r="E96" s="31"/>
      <c r="F96" s="31"/>
      <c r="G96" s="31"/>
      <c r="H96" s="28"/>
      <c r="I96" s="37"/>
      <c r="J96" s="28"/>
      <c r="K96" s="31"/>
      <c r="L96" s="27"/>
    </row>
    <row r="97" customFormat="false" ht="25.5" hidden="false" customHeight="true" outlineLevel="0" collapsed="false">
      <c r="A97" s="35" t="n">
        <v>93</v>
      </c>
      <c r="B97" s="36"/>
      <c r="C97" s="28"/>
      <c r="D97" s="31"/>
      <c r="E97" s="31"/>
      <c r="F97" s="31"/>
      <c r="G97" s="31"/>
      <c r="H97" s="28"/>
      <c r="I97" s="37"/>
      <c r="J97" s="28"/>
      <c r="K97" s="31"/>
      <c r="L97" s="27"/>
    </row>
    <row r="98" customFormat="false" ht="25.5" hidden="false" customHeight="true" outlineLevel="0" collapsed="false">
      <c r="A98" s="38" t="n">
        <v>94</v>
      </c>
      <c r="B98" s="36"/>
      <c r="C98" s="28"/>
      <c r="D98" s="31"/>
      <c r="E98" s="31"/>
      <c r="F98" s="31"/>
      <c r="G98" s="31"/>
      <c r="H98" s="28"/>
      <c r="I98" s="37"/>
      <c r="J98" s="28"/>
      <c r="K98" s="31"/>
      <c r="L98" s="27"/>
    </row>
    <row r="99" customFormat="false" ht="25.5" hidden="false" customHeight="true" outlineLevel="0" collapsed="false">
      <c r="A99" s="35" t="n">
        <v>95</v>
      </c>
      <c r="B99" s="36"/>
      <c r="C99" s="28"/>
      <c r="D99" s="31"/>
      <c r="E99" s="31"/>
      <c r="F99" s="31"/>
      <c r="G99" s="31"/>
      <c r="H99" s="28"/>
      <c r="I99" s="37"/>
      <c r="J99" s="28"/>
      <c r="K99" s="31"/>
      <c r="L99" s="27"/>
    </row>
    <row r="100" customFormat="false" ht="25.5" hidden="false" customHeight="true" outlineLevel="0" collapsed="false">
      <c r="A100" s="38" t="n">
        <v>96</v>
      </c>
      <c r="B100" s="36"/>
      <c r="C100" s="28"/>
      <c r="D100" s="31"/>
      <c r="E100" s="31"/>
      <c r="F100" s="31"/>
      <c r="G100" s="31"/>
      <c r="H100" s="28"/>
      <c r="I100" s="37"/>
      <c r="J100" s="28"/>
      <c r="K100" s="31"/>
      <c r="L100" s="27"/>
    </row>
    <row r="101" customFormat="false" ht="25.5" hidden="false" customHeight="true" outlineLevel="0" collapsed="false">
      <c r="A101" s="35" t="n">
        <v>97</v>
      </c>
      <c r="B101" s="36"/>
      <c r="C101" s="28"/>
      <c r="D101" s="31"/>
      <c r="E101" s="31"/>
      <c r="F101" s="31"/>
      <c r="G101" s="31"/>
      <c r="H101" s="28"/>
      <c r="I101" s="37"/>
      <c r="J101" s="28"/>
      <c r="K101" s="31"/>
      <c r="L101" s="27"/>
    </row>
    <row r="102" customFormat="false" ht="25.5" hidden="false" customHeight="true" outlineLevel="0" collapsed="false">
      <c r="A102" s="38" t="n">
        <v>98</v>
      </c>
      <c r="B102" s="36"/>
      <c r="C102" s="28"/>
      <c r="D102" s="31"/>
      <c r="E102" s="31"/>
      <c r="F102" s="31"/>
      <c r="G102" s="31"/>
      <c r="H102" s="28"/>
      <c r="I102" s="37"/>
      <c r="J102" s="28"/>
      <c r="K102" s="31"/>
      <c r="L102" s="27"/>
    </row>
    <row r="103" customFormat="false" ht="25.5" hidden="false" customHeight="true" outlineLevel="0" collapsed="false">
      <c r="A103" s="35" t="n">
        <v>99</v>
      </c>
      <c r="B103" s="36"/>
      <c r="C103" s="28"/>
      <c r="D103" s="31"/>
      <c r="E103" s="31"/>
      <c r="F103" s="31"/>
      <c r="G103" s="31"/>
      <c r="H103" s="28"/>
      <c r="I103" s="37"/>
      <c r="J103" s="28"/>
      <c r="K103" s="31"/>
      <c r="L103" s="27"/>
    </row>
    <row r="104" customFormat="false" ht="25.5" hidden="false" customHeight="true" outlineLevel="0" collapsed="false">
      <c r="A104" s="38" t="n">
        <v>100</v>
      </c>
      <c r="B104" s="36"/>
      <c r="C104" s="28"/>
      <c r="D104" s="31"/>
      <c r="E104" s="31"/>
      <c r="F104" s="31"/>
      <c r="G104" s="31"/>
      <c r="H104" s="28"/>
      <c r="I104" s="37"/>
      <c r="J104" s="28"/>
      <c r="K104" s="31"/>
      <c r="L104" s="27"/>
    </row>
  </sheetData>
  <mergeCells count="2">
    <mergeCell ref="A1:L1"/>
    <mergeCell ref="A2:L2"/>
  </mergeCells>
  <conditionalFormatting sqref="J5:J104">
    <cfRule type="cellIs" priority="2" operator="equal" aboveAverage="0" equalAverage="0" bottom="0" percent="0" rank="0" text="" dxfId="1">
      <formula>"Ouvert"</formula>
    </cfRule>
    <cfRule type="cellIs" priority="3" operator="equal" aboveAverage="0" equalAverage="0" bottom="0" percent="0" rank="0" text="" dxfId="3">
      <formula>"En cours"</formula>
    </cfRule>
    <cfRule type="cellIs" priority="4" operator="equal" aboveAverage="0" equalAverage="0" bottom="0" percent="0" rank="0" text="" dxfId="5">
      <formula>"SAV"</formula>
    </cfRule>
    <cfRule type="cellIs" priority="5" operator="equal" aboveAverage="0" equalAverage="0" bottom="0" percent="0" rank="0" text="" dxfId="0">
      <formula>"Clôturé"</formula>
    </cfRule>
  </conditionalFormatting>
  <dataValidations count="2">
    <dataValidation allowBlank="true" errorStyle="stop" operator="between" showDropDown="false" showErrorMessage="false" showInputMessage="false" sqref="C5:C104" type="list">
      <formula1>"DTF,Trotec"</formula1>
      <formula2>0</formula2>
    </dataValidation>
    <dataValidation allowBlank="true" errorStyle="stop" operator="between" showDropDown="false" showErrorMessage="false" showInputMessage="false" sqref="J5:J104" type="list">
      <formula1>"Ouvert,En cours,SAV,Clôturé"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4"/>
    <col collapsed="false" customWidth="true" hidden="false" outlineLevel="0" max="4" min="4" style="0" width="40"/>
  </cols>
  <sheetData>
    <row r="1" customFormat="false" ht="33.75" hidden="false" customHeight="true" outlineLevel="0" collapsed="false">
      <c r="A1" s="1" t="s">
        <v>323</v>
      </c>
      <c r="B1" s="1"/>
      <c r="C1" s="1"/>
      <c r="D1" s="1"/>
    </row>
    <row r="2" customFormat="false" ht="19.5" hidden="false" customHeight="true" outlineLevel="0" collapsed="false">
      <c r="A2" s="2" t="s">
        <v>324</v>
      </c>
      <c r="B2" s="2"/>
      <c r="C2" s="2"/>
      <c r="D2" s="2"/>
    </row>
    <row r="4" customFormat="false" ht="25.5" hidden="false" customHeight="true" outlineLevel="0" collapsed="false">
      <c r="A4" s="10" t="s">
        <v>325</v>
      </c>
      <c r="B4" s="10" t="s">
        <v>326</v>
      </c>
      <c r="C4" s="10" t="s">
        <v>327</v>
      </c>
      <c r="D4" s="10" t="s">
        <v>328</v>
      </c>
    </row>
    <row r="5" customFormat="false" ht="21.75" hidden="false" customHeight="true" outlineLevel="0" collapsed="false">
      <c r="A5" s="39" t="s">
        <v>329</v>
      </c>
      <c r="B5" s="31"/>
      <c r="C5" s="31"/>
      <c r="D5" s="40" t="s">
        <v>330</v>
      </c>
    </row>
    <row r="6" customFormat="false" ht="21.75" hidden="false" customHeight="true" outlineLevel="0" collapsed="false">
      <c r="A6" s="41" t="s">
        <v>331</v>
      </c>
      <c r="B6" s="31"/>
      <c r="C6" s="31"/>
      <c r="D6" s="42" t="s">
        <v>332</v>
      </c>
    </row>
    <row r="7" customFormat="false" ht="21.75" hidden="false" customHeight="true" outlineLevel="0" collapsed="false">
      <c r="A7" s="39" t="s">
        <v>333</v>
      </c>
      <c r="B7" s="31"/>
      <c r="C7" s="31"/>
      <c r="D7" s="40"/>
    </row>
    <row r="8" customFormat="false" ht="21.75" hidden="false" customHeight="true" outlineLevel="0" collapsed="false">
      <c r="A8" s="41" t="s">
        <v>334</v>
      </c>
      <c r="B8" s="31"/>
      <c r="C8" s="31"/>
      <c r="D8" s="42" t="s">
        <v>335</v>
      </c>
    </row>
    <row r="9" customFormat="false" ht="21.75" hidden="false" customHeight="true" outlineLevel="0" collapsed="false">
      <c r="A9" s="39" t="s">
        <v>336</v>
      </c>
      <c r="B9" s="31"/>
      <c r="C9" s="31"/>
      <c r="D9" s="40" t="s">
        <v>337</v>
      </c>
    </row>
    <row r="10" customFormat="false" ht="21.75" hidden="false" customHeight="true" outlineLevel="0" collapsed="false">
      <c r="A10" s="41" t="s">
        <v>338</v>
      </c>
      <c r="B10" s="31"/>
      <c r="C10" s="31"/>
      <c r="D10" s="42" t="s">
        <v>339</v>
      </c>
    </row>
    <row r="11" customFormat="false" ht="21.75" hidden="false" customHeight="true" outlineLevel="0" collapsed="false">
      <c r="A11" s="39" t="s">
        <v>340</v>
      </c>
      <c r="B11" s="31"/>
      <c r="C11" s="31" t="s">
        <v>192</v>
      </c>
      <c r="D11" s="40"/>
    </row>
    <row r="12" customFormat="false" ht="21.75" hidden="false" customHeight="true" outlineLevel="0" collapsed="false">
      <c r="A12" s="41" t="s">
        <v>341</v>
      </c>
      <c r="B12" s="31"/>
      <c r="C12" s="31"/>
      <c r="D12" s="42"/>
    </row>
    <row r="13" customFormat="false" ht="21.75" hidden="false" customHeight="true" outlineLevel="0" collapsed="false">
      <c r="A13" s="39" t="s">
        <v>342</v>
      </c>
      <c r="B13" s="31"/>
      <c r="C13" s="31"/>
      <c r="D13" s="40"/>
    </row>
    <row r="14" customFormat="false" ht="21.75" hidden="false" customHeight="true" outlineLevel="0" collapsed="false">
      <c r="A14" s="41" t="s">
        <v>343</v>
      </c>
      <c r="B14" s="31"/>
      <c r="C14" s="31"/>
      <c r="D14" s="42"/>
    </row>
    <row r="15" customFormat="false" ht="21.75" hidden="false" customHeight="true" outlineLevel="0" collapsed="false">
      <c r="A15" s="39" t="s">
        <v>344</v>
      </c>
      <c r="B15" s="31"/>
      <c r="C15" s="31"/>
      <c r="D15" s="40" t="s">
        <v>345</v>
      </c>
    </row>
    <row r="16" customFormat="false" ht="21.75" hidden="false" customHeight="true" outlineLevel="0" collapsed="false">
      <c r="A16" s="41" t="s">
        <v>346</v>
      </c>
      <c r="B16" s="31"/>
      <c r="C16" s="31"/>
      <c r="D16" s="42" t="s">
        <v>347</v>
      </c>
    </row>
    <row r="17" customFormat="false" ht="21.75" hidden="false" customHeight="true" outlineLevel="0" collapsed="false">
      <c r="A17" s="39" t="s">
        <v>348</v>
      </c>
      <c r="B17" s="31" t="s">
        <v>349</v>
      </c>
      <c r="C17" s="31" t="s">
        <v>350</v>
      </c>
      <c r="D17" s="40"/>
    </row>
    <row r="18" customFormat="false" ht="21.75" hidden="false" customHeight="true" outlineLevel="0" collapsed="false">
      <c r="A18" s="41" t="s">
        <v>351</v>
      </c>
      <c r="B18" s="31"/>
      <c r="C18" s="31"/>
      <c r="D18" s="42" t="s">
        <v>352</v>
      </c>
    </row>
    <row r="19" customFormat="false" ht="21.75" hidden="false" customHeight="true" outlineLevel="0" collapsed="false">
      <c r="A19" s="39" t="s">
        <v>353</v>
      </c>
      <c r="B19" s="31"/>
      <c r="C19" s="31" t="s">
        <v>354</v>
      </c>
      <c r="D19" s="40"/>
    </row>
    <row r="20" customFormat="false" ht="21.75" hidden="false" customHeight="true" outlineLevel="0" collapsed="false">
      <c r="A20" s="41" t="s">
        <v>355</v>
      </c>
      <c r="B20" s="31"/>
      <c r="C20" s="31"/>
      <c r="D20" s="42" t="s">
        <v>356</v>
      </c>
    </row>
    <row r="21" customFormat="false" ht="21.75" hidden="false" customHeight="true" outlineLevel="0" collapsed="false">
      <c r="A21" s="39" t="s">
        <v>357</v>
      </c>
      <c r="B21" s="31"/>
      <c r="C21" s="31"/>
      <c r="D21" s="40" t="s">
        <v>358</v>
      </c>
    </row>
    <row r="22" customFormat="false" ht="21.75" hidden="false" customHeight="true" outlineLevel="0" collapsed="false">
      <c r="A22" s="41" t="s">
        <v>359</v>
      </c>
      <c r="B22" s="31"/>
      <c r="C22" s="31" t="s">
        <v>360</v>
      </c>
      <c r="D22" s="42"/>
    </row>
    <row r="23" customFormat="false" ht="21.75" hidden="false" customHeight="true" outlineLevel="0" collapsed="false">
      <c r="A23" s="39" t="s">
        <v>361</v>
      </c>
      <c r="B23" s="31"/>
      <c r="C23" s="31"/>
      <c r="D23" s="40" t="s">
        <v>362</v>
      </c>
    </row>
    <row r="24" customFormat="false" ht="21.75" hidden="false" customHeight="true" outlineLevel="0" collapsed="false">
      <c r="A24" s="41" t="s">
        <v>363</v>
      </c>
      <c r="B24" s="31"/>
      <c r="C24" s="31"/>
      <c r="D24" s="42" t="s">
        <v>364</v>
      </c>
    </row>
    <row r="25" customFormat="false" ht="21.75" hidden="false" customHeight="true" outlineLevel="0" collapsed="false">
      <c r="A25" s="39" t="s">
        <v>365</v>
      </c>
      <c r="B25" s="31"/>
      <c r="C25" s="31"/>
      <c r="D25" s="40" t="s">
        <v>366</v>
      </c>
    </row>
    <row r="26" customFormat="false" ht="21.75" hidden="false" customHeight="true" outlineLevel="0" collapsed="false">
      <c r="A26" s="41" t="s">
        <v>367</v>
      </c>
      <c r="B26" s="31"/>
      <c r="C26" s="31"/>
      <c r="D26" s="42" t="s">
        <v>368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&amp;LImprimé le &amp;D&amp;RPage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2026-08-10T22:38:47Z</dcterms:created>
  <dc:creator>openpyxl</dc:creator>
  <dc:description/>
  <dc:language>en-US</dc:language>
  <cp:lastModifiedBy/>
  <dcterms:modified xsi:type="dcterms:W3CDTF">2026-08-10T22:38:47Z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